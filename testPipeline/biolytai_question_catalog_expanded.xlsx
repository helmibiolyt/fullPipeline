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afety &amp; PV" sheetId="2" state="visible" r:id="rId4"/>
    <sheet name="Medical Affairs" sheetId="3" state="visible" r:id="rId5"/>
    <sheet name="Clinical Operations" sheetId="4" state="visible" r:id="rId6"/>
    <sheet name="Data Management" sheetId="5" state="visible" r:id="rId7"/>
    <sheet name="Regulatory Affairs" sheetId="6" state="visible" r:id="rId8"/>
    <sheet name="Clinical Leadership" sheetId="7" state="visible" r:id="rId9"/>
    <sheet name="Competitive Intellig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<sst xmlns="http://schemas.openxmlformats.org/spreadsheetml/2006/main" count="915" uniqueCount="618">
  <si>
    <t xml:space="preserve">biolyt.ai  |  Expanded Persona Question Catalog</t>
  </si>
  <si>
    <t xml:space="preserve">Full question library across personas and complexity tiers, with a dedicated competitive intelligence set. Slots in [brackets] are user-filled.</t>
  </si>
  <si>
    <t xml:space="preserve">Counts by persona and tier</t>
  </si>
  <si>
    <t xml:space="preserve">Persona</t>
  </si>
  <si>
    <t xml:space="preserve">Simple</t>
  </si>
  <si>
    <t xml:space="preserve">Medium</t>
  </si>
  <si>
    <t xml:space="preserve">Complex</t>
  </si>
  <si>
    <t xml:space="preserve">Total</t>
  </si>
  <si>
    <t xml:space="preserve">CI</t>
  </si>
  <si>
    <t xml:space="preserve">Focus</t>
  </si>
  <si>
    <t xml:space="preserve">Safety &amp; PV</t>
  </si>
  <si>
    <t xml:space="preserve">Pharmacovigilance, signal detection, case management</t>
  </si>
  <si>
    <t xml:space="preserve">Medical Affairs</t>
  </si>
  <si>
    <t xml:space="preserve">Scientific evidence, MSL support, competitive intelligence</t>
  </si>
  <si>
    <t xml:space="preserve">Clinical Operations</t>
  </si>
  <si>
    <t xml:space="preserve">Site performance, enrollment, protocol conduct</t>
  </si>
  <si>
    <t xml:space="preserve">Data Management</t>
  </si>
  <si>
    <t xml:space="preserve">Query resolution, discrepancies, database quality</t>
  </si>
  <si>
    <t xml:space="preserve">Regulatory Affairs</t>
  </si>
  <si>
    <t xml:space="preserve">Submissions, labeling, evidence traceability</t>
  </si>
  <si>
    <t xml:space="preserve">Clinical Leadership</t>
  </si>
  <si>
    <t xml:space="preserve">Portfolio delivery, risk, executive reporting</t>
  </si>
  <si>
    <t xml:space="preserve">Competitive Intelligence (tab)</t>
  </si>
  <si>
    <t xml:space="preserve">Cross-persona competitive intelligence</t>
  </si>
  <si>
    <t xml:space="preserve">Note: CI counts the questions tagged for competitive intelligence within each persona tab. The Competitive Intelligence tab is an additional curated cross-persona set.</t>
  </si>
  <si>
    <t xml:space="preserve">ID</t>
  </si>
  <si>
    <t xml:space="preserve">Complexity</t>
  </si>
  <si>
    <t xml:space="preserve">Persona Question (card label)</t>
  </si>
  <si>
    <t xml:space="preserve">Role Activity Supported</t>
  </si>
  <si>
    <t xml:space="preserve">Corpus Data Leveraged</t>
  </si>
  <si>
    <t xml:space="preserve">Answer Format / Output</t>
  </si>
  <si>
    <t xml:space="preserve">Agent Reasoning Depth</t>
  </si>
  <si>
    <t xml:space="preserve">Show all serious adverse events for [product] in the last 30 days</t>
  </si>
  <si>
    <t xml:space="preserve">Daily surveillance</t>
  </si>
  <si>
    <t xml:space="preserve">ICSRs, seriousness flags, receipt dates</t>
  </si>
  <si>
    <t xml:space="preserve">Filtered case table</t>
  </si>
  <si>
    <t xml:space="preserve">Single retrieval + filter</t>
  </si>
  <si>
    <t xml:space="preserve">List cases matching preferred term [PT] filed this quarter</t>
  </si>
  <si>
    <t xml:space="preserve">Case triage</t>
  </si>
  <si>
    <t xml:space="preserve">Coded MedDRA terms, case metadata</t>
  </si>
  <si>
    <t xml:space="preserve">Case list with links</t>
  </si>
  <si>
    <t xml:space="preserve">How many cases are pending medical review right now?</t>
  </si>
  <si>
    <t xml:space="preserve">Backlog check</t>
  </si>
  <si>
    <t xml:space="preserve">Case status, workflow state</t>
  </si>
  <si>
    <t xml:space="preserve">Count with drill-down</t>
  </si>
  <si>
    <t xml:space="preserve">Count / aggregate</t>
  </si>
  <si>
    <t xml:space="preserve">List all fatal case reports for [product] year to date</t>
  </si>
  <si>
    <t xml:space="preserve">Fatal case oversight</t>
  </si>
  <si>
    <t xml:space="preserve">Outcome fields, case records</t>
  </si>
  <si>
    <t xml:space="preserve">Case list</t>
  </si>
  <si>
    <t xml:space="preserve">Filtered retrieval</t>
  </si>
  <si>
    <t xml:space="preserve">Show cases received from [country/region] this week</t>
  </si>
  <si>
    <t xml:space="preserve">Regional intake review</t>
  </si>
  <si>
    <t xml:space="preserve">Case origin, receipt dates</t>
  </si>
  <si>
    <t xml:space="preserve">Filtered list</t>
  </si>
  <si>
    <t xml:space="preserve">Which cases are approaching their 15-day reporting deadline?</t>
  </si>
  <si>
    <t xml:space="preserve">Reportability tracking</t>
  </si>
  <si>
    <t xml:space="preserve">Reportability clocks, case status</t>
  </si>
  <si>
    <t xml:space="preserve">Deadline queue</t>
  </si>
  <si>
    <t xml:space="preserve">Filter + date logic</t>
  </si>
  <si>
    <t xml:space="preserve">Pull all cases involving [concomitant medication]</t>
  </si>
  <si>
    <t xml:space="preserve">Interaction screening</t>
  </si>
  <si>
    <t xml:space="preserve">Concomitant med fields</t>
  </si>
  <si>
    <t xml:space="preserve">Summarize the AE profile for [product] by seriousness and causality</t>
  </si>
  <si>
    <t xml:space="preserve">Periodic review prep</t>
  </si>
  <si>
    <t xml:space="preserve">ICSRs, causality, outcomes</t>
  </si>
  <si>
    <t xml:space="preserve">Cross-tab + chart</t>
  </si>
  <si>
    <t xml:space="preserve">Aggregation + summarization</t>
  </si>
  <si>
    <t xml:space="preserve">Are there emerging signals across these PTs vs baseline in the last 90 days?</t>
  </si>
  <si>
    <t xml:space="preserve">Signal monitoring</t>
  </si>
  <si>
    <t xml:space="preserve">Case volumes, baselines, PT groups</t>
  </si>
  <si>
    <t xml:space="preserve">Trend view with flags</t>
  </si>
  <si>
    <t xml:space="preserve">Comparative trend analysis</t>
  </si>
  <si>
    <t xml:space="preserve">Show case volume trend by geography and reporting source for [product]</t>
  </si>
  <si>
    <t xml:space="preserve">Reporting pattern review</t>
  </si>
  <si>
    <t xml:space="preserve">Case origin, reporter type, time series</t>
  </si>
  <si>
    <t xml:space="preserve">Trend chart by segment</t>
  </si>
  <si>
    <t xml:space="preserve">Multi-dimension aggregation</t>
  </si>
  <si>
    <t xml:space="preserve">Break down adverse events by System Organ Class for [product]</t>
  </si>
  <si>
    <t xml:space="preserve">AE profiling</t>
  </si>
  <si>
    <t xml:space="preserve">SOC hierarchy, coded events</t>
  </si>
  <si>
    <t xml:space="preserve">SOC distribution chart</t>
  </si>
  <si>
    <t xml:space="preserve">Aggregation + grouping</t>
  </si>
  <si>
    <t xml:space="preserve">Summarize case outcomes for [PT] over the last year</t>
  </si>
  <si>
    <t xml:space="preserve">Outcome analysis</t>
  </si>
  <si>
    <t xml:space="preserve">Outcome fields, time series</t>
  </si>
  <si>
    <t xml:space="preserve">Outcome summary</t>
  </si>
  <si>
    <t xml:space="preserve">Identify events most frequently co-reported with [PT]</t>
  </si>
  <si>
    <t xml:space="preserve">Co-occurrence analysis</t>
  </si>
  <si>
    <t xml:space="preserve">Multi-event case records</t>
  </si>
  <si>
    <t xml:space="preserve">Co-occurrence ranking</t>
  </si>
  <si>
    <t xml:space="preserve">Association analysis</t>
  </si>
  <si>
    <t xml:space="preserve">Monitor class-wide safety signals for [therapeutic class] across products</t>
  </si>
  <si>
    <t xml:space="preserve">Class safety monitoring</t>
  </si>
  <si>
    <t xml:space="preserve">Competitor and class case patterns</t>
  </si>
  <si>
    <t xml:space="preserve">Class signal view</t>
  </si>
  <si>
    <t xml:space="preserve">Yes</t>
  </si>
  <si>
    <t xml:space="preserve">Detect disproportionality signals for [product] and rank by strength of association</t>
  </si>
  <si>
    <t xml:space="preserve">Quantitative detection</t>
  </si>
  <si>
    <t xml:space="preserve">Full case corpus, exposure denominators</t>
  </si>
  <si>
    <t xml:space="preserve">Ranked signal table</t>
  </si>
  <si>
    <t xml:space="preserve">Statistical + multi-step reasoning</t>
  </si>
  <si>
    <t xml:space="preserve">Draft a signal evaluation summary for [PT]: narratives, temporal pattern, confounders</t>
  </si>
  <si>
    <t xml:space="preserve">Signal workup</t>
  </si>
  <si>
    <t xml:space="preserve">Narratives, timelines, concomitant meds</t>
  </si>
  <si>
    <t xml:space="preserve">Draft evaluation doc</t>
  </si>
  <si>
    <t xml:space="preserve">Synthesis + document generation</t>
  </si>
  <si>
    <t xml:space="preserve">Assess whether the AE pattern for [product] warrants a label update, with supporting cases</t>
  </si>
  <si>
    <t xml:space="preserve">Labeling decision support</t>
  </si>
  <si>
    <t xml:space="preserve">Case corpus, comparator evidence, label</t>
  </si>
  <si>
    <t xml:space="preserve">Assessment memo</t>
  </si>
  <si>
    <t xml:space="preserve">Causal reasoning + recommendation</t>
  </si>
  <si>
    <t xml:space="preserve">Generate the safety section narrative for the PSUR/PBRER for [product]</t>
  </si>
  <si>
    <t xml:space="preserve">Aggregate report authoring</t>
  </si>
  <si>
    <t xml:space="preserve">Case data, literature, prior reports</t>
  </si>
  <si>
    <t xml:space="preserve">Draft report section</t>
  </si>
  <si>
    <t xml:space="preserve">Build a benefit-risk summary for [product] integrating efficacy and safety evidence</t>
  </si>
  <si>
    <t xml:space="preserve">Benefit-risk assessment</t>
  </si>
  <si>
    <t xml:space="preserve">Efficacy, safety, comparator data</t>
  </si>
  <si>
    <t xml:space="preserve">Benefit-risk summary</t>
  </si>
  <si>
    <t xml:space="preserve">Cross-domain synthesis</t>
  </si>
  <si>
    <t xml:space="preserve">Compare the safety profile of [product] against [competitor product]</t>
  </si>
  <si>
    <t xml:space="preserve">Comparative safety CI</t>
  </si>
  <si>
    <t xml:space="preserve">Case corpus, competitor safety data</t>
  </si>
  <si>
    <t xml:space="preserve">Comparison + narrative</t>
  </si>
  <si>
    <t xml:space="preserve">Cross-source synthesis</t>
  </si>
  <si>
    <t xml:space="preserve">Find published evidence supporting [claim] for [indication]</t>
  </si>
  <si>
    <t xml:space="preserve">Evidence lookup</t>
  </si>
  <si>
    <t xml:space="preserve">Publications, trial results</t>
  </si>
  <si>
    <t xml:space="preserve">Citation list</t>
  </si>
  <si>
    <t xml:space="preserve">List active competitor trials for [indication]</t>
  </si>
  <si>
    <t xml:space="preserve">Competitive awareness</t>
  </si>
  <si>
    <t xml:space="preserve">Registry records, phase fields</t>
  </si>
  <si>
    <t xml:space="preserve">Trial list</t>
  </si>
  <si>
    <t xml:space="preserve">Pull the latest efficacy data for [product] in [subpopulation]</t>
  </si>
  <si>
    <t xml:space="preserve">Fast fact retrieval</t>
  </si>
  <si>
    <t xml:space="preserve">Trial endpoints, subgroup results</t>
  </si>
  <si>
    <t xml:space="preserve">Endpoint card</t>
  </si>
  <si>
    <t xml:space="preserve">Show recent congress abstracts mentioning [product]</t>
  </si>
  <si>
    <t xml:space="preserve">Congress tracking</t>
  </si>
  <si>
    <t xml:space="preserve">Abstracts, presentation metadata</t>
  </si>
  <si>
    <t xml:space="preserve">Abstract list</t>
  </si>
  <si>
    <t xml:space="preserve">List key opinion leaders publishing on [indication]</t>
  </si>
  <si>
    <t xml:space="preserve">KOL mapping</t>
  </si>
  <si>
    <t xml:space="preserve">Author records, publication data</t>
  </si>
  <si>
    <t xml:space="preserve">KOL list</t>
  </si>
  <si>
    <t xml:space="preserve">Retrieval + grouping</t>
  </si>
  <si>
    <t xml:space="preserve">What is the approved dosing for [product] in [indication]?</t>
  </si>
  <si>
    <t xml:space="preserve">Label reference</t>
  </si>
  <si>
    <t xml:space="preserve">Approved label data</t>
  </si>
  <si>
    <t xml:space="preserve">Dosing card</t>
  </si>
  <si>
    <t xml:space="preserve">Single retrieval</t>
  </si>
  <si>
    <t xml:space="preserve">Find the most recent real-world evidence study on [product]</t>
  </si>
  <si>
    <t xml:space="preserve">RWE lookup</t>
  </si>
  <si>
    <t xml:space="preserve">RWE study corpus</t>
  </si>
  <si>
    <t xml:space="preserve">Study summary</t>
  </si>
  <si>
    <t xml:space="preserve">Summarize the evidence base for an MSL response to [scientific question]</t>
  </si>
  <si>
    <t xml:space="preserve">MSL response prep</t>
  </si>
  <si>
    <t xml:space="preserve">Publications, trials, congress data</t>
  </si>
  <si>
    <t xml:space="preserve">Evidence summary</t>
  </si>
  <si>
    <t xml:space="preserve">Compare [product] vs [comparator] across efficacy and safety endpoints</t>
  </si>
  <si>
    <t xml:space="preserve">Comparative positioning</t>
  </si>
  <si>
    <t xml:space="preserve">Cross-trial endpoint data</t>
  </si>
  <si>
    <t xml:space="preserve">Comparison table</t>
  </si>
  <si>
    <t xml:space="preserve">Cross-source comparison</t>
  </si>
  <si>
    <t xml:space="preserve">Map the competitive trial landscape for [indication] by phase, mechanism, sponsor</t>
  </si>
  <si>
    <t xml:space="preserve">Landscape monitoring</t>
  </si>
  <si>
    <t xml:space="preserve">Registry data, mechanism tags</t>
  </si>
  <si>
    <t xml:space="preserve">Landscape matrix</t>
  </si>
  <si>
    <t xml:space="preserve">Multi-dimension synthesis</t>
  </si>
  <si>
    <t xml:space="preserve">Summarize mechanism-of-action differences between [product] and [comparator]</t>
  </si>
  <si>
    <t xml:space="preserve">Scientific differentiation</t>
  </si>
  <si>
    <t xml:space="preserve">MoA literature, trial data</t>
  </si>
  <si>
    <t xml:space="preserve">MoA comparison</t>
  </si>
  <si>
    <t xml:space="preserve">Track how evidence for [claim] has evolved over the last three years</t>
  </si>
  <si>
    <t xml:space="preserve">Evidence trend</t>
  </si>
  <si>
    <t xml:space="preserve">Publication time series</t>
  </si>
  <si>
    <t xml:space="preserve">Evidence timeline</t>
  </si>
  <si>
    <t xml:space="preserve">Temporal synthesis</t>
  </si>
  <si>
    <t xml:space="preserve">Identify the top unanswered scientific questions from recent KOL interactions</t>
  </si>
  <si>
    <t xml:space="preserve">Insight synthesis</t>
  </si>
  <si>
    <t xml:space="preserve">Interaction records, evidence gaps</t>
  </si>
  <si>
    <t xml:space="preserve">Ranked question list</t>
  </si>
  <si>
    <t xml:space="preserve">Gap analysis</t>
  </si>
  <si>
    <t xml:space="preserve">Summarize congress coverage for [indication] from the last major meeting</t>
  </si>
  <si>
    <t xml:space="preserve">Congress synthesis</t>
  </si>
  <si>
    <t xml:space="preserve">Abstracts, presentations</t>
  </si>
  <si>
    <t xml:space="preserve">Congress digest</t>
  </si>
  <si>
    <t xml:space="preserve">Draft an evidence-backed scientific response to [KOL question], with citations and gap flags</t>
  </si>
  <si>
    <t xml:space="preserve">Inquiry response</t>
  </si>
  <si>
    <t xml:space="preserve">Literature corpus, trial data</t>
  </si>
  <si>
    <t xml:space="preserve">Draft response</t>
  </si>
  <si>
    <t xml:space="preserve">Synthesize a publication gap analysis and recommend priority topics</t>
  </si>
  <si>
    <t xml:space="preserve">Publication planning</t>
  </si>
  <si>
    <t xml:space="preserve">Publication corpus, competitor output</t>
  </si>
  <si>
    <t xml:space="preserve">Gap analysis + plan</t>
  </si>
  <si>
    <t xml:space="preserve">Gap reasoning + recommendation</t>
  </si>
  <si>
    <t xml:space="preserve">Build a payer-ready value narrative integrating clinical, RWE, and comparative evidence</t>
  </si>
  <si>
    <t xml:space="preserve">Value communication</t>
  </si>
  <si>
    <t xml:space="preserve">Trials, RWE, HEOR, comparator data</t>
  </si>
  <si>
    <t xml:space="preserve">Value narrative</t>
  </si>
  <si>
    <t xml:space="preserve">Generate a competitive positioning brief for [product] vs the [indication] landscape</t>
  </si>
  <si>
    <t xml:space="preserve">Positioning</t>
  </si>
  <si>
    <t xml:space="preserve">Full evidence + competitor corpus</t>
  </si>
  <si>
    <t xml:space="preserve">Positioning brief</t>
  </si>
  <si>
    <t xml:space="preserve">Build an evidence dossier for [indication] structured for advisory board discussion</t>
  </si>
  <si>
    <t xml:space="preserve">Advisory board prep</t>
  </si>
  <si>
    <t xml:space="preserve">Trials, publications, RWE</t>
  </si>
  <si>
    <t xml:space="preserve">Structured dossier</t>
  </si>
  <si>
    <t xml:space="preserve">Analyze where competitor evidence is strongest and recommend a defensive data strategy</t>
  </si>
  <si>
    <t xml:space="preserve">Strategic CI</t>
  </si>
  <si>
    <t xml:space="preserve">Competitor evidence, own data gaps</t>
  </si>
  <si>
    <t xml:space="preserve">Strategy recommendation</t>
  </si>
  <si>
    <t xml:space="preserve">Which sites are behind enrollment target for [study]?</t>
  </si>
  <si>
    <t xml:space="preserve">Enrollment tracking</t>
  </si>
  <si>
    <t xml:space="preserve">Enrollment counts, targets</t>
  </si>
  <si>
    <t xml:space="preserve">Ranked site list</t>
  </si>
  <si>
    <t xml:space="preserve">Filter + threshold</t>
  </si>
  <si>
    <t xml:space="preserve">Show open protocol deviations for [study] by site</t>
  </si>
  <si>
    <t xml:space="preserve">Deviation monitoring</t>
  </si>
  <si>
    <t xml:space="preserve">Deviation records, site mapping</t>
  </si>
  <si>
    <t xml:space="preserve">Deviation table</t>
  </si>
  <si>
    <t xml:space="preserve">List sites with no screening activity in the last 14 days</t>
  </si>
  <si>
    <t xml:space="preserve">Dormant-site check</t>
  </si>
  <si>
    <t xml:space="preserve">Screening logs, timestamps</t>
  </si>
  <si>
    <t xml:space="preserve">Flagged site list</t>
  </si>
  <si>
    <t xml:space="preserve">Filter + recency logic</t>
  </si>
  <si>
    <t xml:space="preserve">What is current total enrollment vs target for [study]?</t>
  </si>
  <si>
    <t xml:space="preserve">Status check</t>
  </si>
  <si>
    <t xml:space="preserve">Enrollment counts, plan</t>
  </si>
  <si>
    <t xml:space="preserve">Progress figure</t>
  </si>
  <si>
    <t xml:space="preserve">Show screen-fail rate by site for [study]</t>
  </si>
  <si>
    <t xml:space="preserve">Screening review</t>
  </si>
  <si>
    <t xml:space="preserve">Screening and enrollment logs</t>
  </si>
  <si>
    <t xml:space="preserve">Rate by site</t>
  </si>
  <si>
    <t xml:space="preserve">Rate calculation</t>
  </si>
  <si>
    <t xml:space="preserve">List sites still pending activation for [study]</t>
  </si>
  <si>
    <t xml:space="preserve">Startup tracking</t>
  </si>
  <si>
    <t xml:space="preserve">Activation status records</t>
  </si>
  <si>
    <t xml:space="preserve">Pending site list</t>
  </si>
  <si>
    <t xml:space="preserve">Which sites have the longest data entry lag?</t>
  </si>
  <si>
    <t xml:space="preserve">Data timeliness check</t>
  </si>
  <si>
    <t xml:space="preserve">Entry timestamps vs visit dates</t>
  </si>
  <si>
    <t xml:space="preserve">Filter + ranking</t>
  </si>
  <si>
    <t xml:space="preserve">Show enrollment trajectory vs plan for [study] and flag at-risk sites</t>
  </si>
  <si>
    <t xml:space="preserve">Enrollment risk review</t>
  </si>
  <si>
    <t xml:space="preserve">Enrollment time series, planned curve</t>
  </si>
  <si>
    <t xml:space="preserve">Trajectory chart + flags</t>
  </si>
  <si>
    <t xml:space="preserve">Trend + variance analysis</t>
  </si>
  <si>
    <t xml:space="preserve">Cluster protocol deviations by type and site for [study]</t>
  </si>
  <si>
    <t xml:space="preserve">Pattern spotting</t>
  </si>
  <si>
    <t xml:space="preserve">Deviation categories, site attributes</t>
  </si>
  <si>
    <t xml:space="preserve">Cluster view</t>
  </si>
  <si>
    <t xml:space="preserve">Grouping + pattern detection</t>
  </si>
  <si>
    <t xml:space="preserve">Compare site performance across screen-fail, velocity, and query burden</t>
  </si>
  <si>
    <t xml:space="preserve">Site benchmarking</t>
  </si>
  <si>
    <t xml:space="preserve">Screening, enrollment, query data</t>
  </si>
  <si>
    <t xml:space="preserve">Multi-metric scorecard</t>
  </si>
  <si>
    <t xml:space="preserve">Cross-metric aggregation</t>
  </si>
  <si>
    <t xml:space="preserve">Rank sites by overall performance for [study]</t>
  </si>
  <si>
    <t xml:space="preserve">Site ranking</t>
  </si>
  <si>
    <t xml:space="preserve">Composite site metrics</t>
  </si>
  <si>
    <t xml:space="preserve">Ranked list</t>
  </si>
  <si>
    <t xml:space="preserve">Weighted scoring</t>
  </si>
  <si>
    <t xml:space="preserve">Show enrollment by month and project the current run rate</t>
  </si>
  <si>
    <t xml:space="preserve">Run-rate projection</t>
  </si>
  <si>
    <t xml:space="preserve">Enrollment time series</t>
  </si>
  <si>
    <t xml:space="preserve">Trend + projection</t>
  </si>
  <si>
    <t xml:space="preserve">Trend extrapolation</t>
  </si>
  <si>
    <t xml:space="preserve">Identify sites with recurring deviation types</t>
  </si>
  <si>
    <t xml:space="preserve">Recurrence analysis</t>
  </si>
  <si>
    <t xml:space="preserve">Deviation history by site</t>
  </si>
  <si>
    <t xml:space="preserve">Flagged sites + types</t>
  </si>
  <si>
    <t xml:space="preserve">Pattern detection</t>
  </si>
  <si>
    <t xml:space="preserve">Summarize monitoring visit findings across sites for [study]</t>
  </si>
  <si>
    <t xml:space="preserve">Monitoring oversight</t>
  </si>
  <si>
    <t xml:space="preserve">Visit reports, findings</t>
  </si>
  <si>
    <t xml:space="preserve">Findings summary</t>
  </si>
  <si>
    <t xml:space="preserve">Predict enrollment completion date under current trajectory and model mitigation scenarios</t>
  </si>
  <si>
    <t xml:space="preserve">Timeline forecasting</t>
  </si>
  <si>
    <t xml:space="preserve">Enrollment history, site capacity</t>
  </si>
  <si>
    <t xml:space="preserve">Forecast + scenarios</t>
  </si>
  <si>
    <t xml:space="preserve">Predictive modeling</t>
  </si>
  <si>
    <t xml:space="preserve">Identify sites at risk of an audit finding from deviation, query, and data-lag patterns</t>
  </si>
  <si>
    <t xml:space="preserve">Risk-based monitoring</t>
  </si>
  <si>
    <t xml:space="preserve">Deviations, queries, entry lag</t>
  </si>
  <si>
    <t xml:space="preserve">Risk-ranked list</t>
  </si>
  <si>
    <t xml:space="preserve">Multi-signal risk reasoning</t>
  </si>
  <si>
    <t xml:space="preserve">Build a study health scorecard across enrollment, data quality, deviations, monitoring</t>
  </si>
  <si>
    <t xml:space="preserve">Study oversight</t>
  </si>
  <si>
    <t xml:space="preserve">Cross-functional study data</t>
  </si>
  <si>
    <t xml:space="preserve">Integrated scorecard</t>
  </si>
  <si>
    <t xml:space="preserve">Recommend which underperforming sites to remediate vs close for [study]</t>
  </si>
  <si>
    <t xml:space="preserve">Site decisions</t>
  </si>
  <si>
    <t xml:space="preserve">Site performance history</t>
  </si>
  <si>
    <t xml:space="preserve">Recommendation + rationale</t>
  </si>
  <si>
    <t xml:space="preserve">Optimization reasoning</t>
  </si>
  <si>
    <t xml:space="preserve">Forecast the impact of adding [n] new sites on the enrollment timeline</t>
  </si>
  <si>
    <t xml:space="preserve">Scenario planning</t>
  </si>
  <si>
    <t xml:space="preserve">Site ramp curves, capacity</t>
  </si>
  <si>
    <t xml:space="preserve">Scenario forecast</t>
  </si>
  <si>
    <t xml:space="preserve">Assess feasibility for a planned [indication] study using site history and competing trials</t>
  </si>
  <si>
    <t xml:space="preserve">Feasibility assessment</t>
  </si>
  <si>
    <t xml:space="preserve">Site history, competing-trial data</t>
  </si>
  <si>
    <t xml:space="preserve">Feasibility brief</t>
  </si>
  <si>
    <t xml:space="preserve">Show outstanding queries for [study] by site and aging bucket</t>
  </si>
  <si>
    <t xml:space="preserve">Backlog tracking</t>
  </si>
  <si>
    <t xml:space="preserve">Query records, open dates</t>
  </si>
  <si>
    <t xml:space="preserve">Aging table</t>
  </si>
  <si>
    <t xml:space="preserve">Aggregation + bucketing</t>
  </si>
  <si>
    <t xml:space="preserve">How many discrepancies are open on [form/CRF]?</t>
  </si>
  <si>
    <t xml:space="preserve">Form status check</t>
  </si>
  <si>
    <t xml:space="preserve">Discrepancy records, form IDs</t>
  </si>
  <si>
    <t xml:space="preserve">Count / filter</t>
  </si>
  <si>
    <t xml:space="preserve">List subjects with missing critical data fields for [study]</t>
  </si>
  <si>
    <t xml:space="preserve">Completeness check</t>
  </si>
  <si>
    <t xml:space="preserve">CRF data, critical-field defs</t>
  </si>
  <si>
    <t xml:space="preserve">Subject list</t>
  </si>
  <si>
    <t xml:space="preserve">Filter + null detection</t>
  </si>
  <si>
    <t xml:space="preserve">Show total open vs closed queries for [study]</t>
  </si>
  <si>
    <t xml:space="preserve">Query status</t>
  </si>
  <si>
    <t xml:space="preserve">Query status records</t>
  </si>
  <si>
    <t xml:space="preserve">Open/closed summary</t>
  </si>
  <si>
    <t xml:space="preserve">Which forms have the most open queries?</t>
  </si>
  <si>
    <t xml:space="preserve">Form-level triage</t>
  </si>
  <si>
    <t xml:space="preserve">Query records by form</t>
  </si>
  <si>
    <t xml:space="preserve">Ranked form list</t>
  </si>
  <si>
    <t xml:space="preserve">Aggregation + ranking</t>
  </si>
  <si>
    <t xml:space="preserve">List queries open longer than [n] days</t>
  </si>
  <si>
    <t xml:space="preserve">Aging triage</t>
  </si>
  <si>
    <t xml:space="preserve">Query open dates</t>
  </si>
  <si>
    <t xml:space="preserve">Aged query list</t>
  </si>
  <si>
    <t xml:space="preserve">Show the medical coding backlog for [study]</t>
  </si>
  <si>
    <t xml:space="preserve">Coding status</t>
  </si>
  <si>
    <t xml:space="preserve">Coding queue, term records</t>
  </si>
  <si>
    <t xml:space="preserve">Backlog summary</t>
  </si>
  <si>
    <t xml:space="preserve">Show query rate anomalies by form and site for [study]</t>
  </si>
  <si>
    <t xml:space="preserve">Anomaly surveillance</t>
  </si>
  <si>
    <t xml:space="preserve">Query volumes, baselines</t>
  </si>
  <si>
    <t xml:space="preserve">Anomaly heatmap</t>
  </si>
  <si>
    <t xml:space="preserve">Comparative anomaly detection</t>
  </si>
  <si>
    <t xml:space="preserve">Summarize the discrepancy aging report and flag SLA breaches</t>
  </si>
  <si>
    <t xml:space="preserve">SLA governance</t>
  </si>
  <si>
    <t xml:space="preserve">Aging data, SLA thresholds</t>
  </si>
  <si>
    <t xml:space="preserve">Aging summary + flags</t>
  </si>
  <si>
    <t xml:space="preserve">Aggregation + threshold logic</t>
  </si>
  <si>
    <t xml:space="preserve">Identify forms with the highest edit-check failure rate across [study]</t>
  </si>
  <si>
    <t xml:space="preserve">CRF quality review</t>
  </si>
  <si>
    <t xml:space="preserve">Edit-check logs, form metadata</t>
  </si>
  <si>
    <t xml:space="preserve">Rate + ranking</t>
  </si>
  <si>
    <t xml:space="preserve">Show query resolution velocity trend for [study]</t>
  </si>
  <si>
    <t xml:space="preserve">Velocity monitoring</t>
  </si>
  <si>
    <t xml:space="preserve">Query open/close time series</t>
  </si>
  <si>
    <t xml:space="preserve">Velocity trend</t>
  </si>
  <si>
    <t xml:space="preserve">Trend analysis</t>
  </si>
  <si>
    <t xml:space="preserve">Compare query burden across sites relative to enrollment</t>
  </si>
  <si>
    <t xml:space="preserve">Normalized benchmarking</t>
  </si>
  <si>
    <t xml:space="preserve">Queries, enrollment counts</t>
  </si>
  <si>
    <t xml:space="preserve">Normalized comparison</t>
  </si>
  <si>
    <t xml:space="preserve">Summarize SAE reconciliation status between clinical and safety databases</t>
  </si>
  <si>
    <t xml:space="preserve">Reconciliation tracking</t>
  </si>
  <si>
    <t xml:space="preserve">Clinical + safety case data</t>
  </si>
  <si>
    <t xml:space="preserve">Reconciliation summary</t>
  </si>
  <si>
    <t xml:space="preserve">Identify subjects with the most data discrepancies</t>
  </si>
  <si>
    <t xml:space="preserve">Outlier subjects</t>
  </si>
  <si>
    <t xml:space="preserve">Discrepancy records by subject</t>
  </si>
  <si>
    <t xml:space="preserve">Ranked subject list</t>
  </si>
  <si>
    <t xml:space="preserve">Predict database lock readiness from open query burden and resolution velocity</t>
  </si>
  <si>
    <t xml:space="preserve">Lock planning</t>
  </si>
  <si>
    <t xml:space="preserve">Query inflow/outflow, velocity</t>
  </si>
  <si>
    <t xml:space="preserve">Readiness forecast</t>
  </si>
  <si>
    <t xml:space="preserve">Detect data entry patterns suggesting site training gaps or transcription errors</t>
  </si>
  <si>
    <t xml:space="preserve">Root-cause analysis</t>
  </si>
  <si>
    <t xml:space="preserve">Timestamps, corrections, distributions</t>
  </si>
  <si>
    <t xml:space="preserve">Pattern findings</t>
  </si>
  <si>
    <t xml:space="preserve">Pattern + anomaly reasoning</t>
  </si>
  <si>
    <t xml:space="preserve">Build a per-site data quality risk index from query rate, aging, and missingness</t>
  </si>
  <si>
    <t xml:space="preserve">Risk oversight</t>
  </si>
  <si>
    <t xml:space="preserve">Query, discrepancy, completeness data</t>
  </si>
  <si>
    <t xml:space="preserve">Composite risk index</t>
  </si>
  <si>
    <t xml:space="preserve">Multi-signal scoring</t>
  </si>
  <si>
    <t xml:space="preserve">Recommend a query resolution prioritization plan to hit the lock date</t>
  </si>
  <si>
    <t xml:space="preserve">Resolution planning</t>
  </si>
  <si>
    <t xml:space="preserve">Query aging, velocity, lock date</t>
  </si>
  <si>
    <t xml:space="preserve">Prioritized plan</t>
  </si>
  <si>
    <t xml:space="preserve">Detect potential data integrity anomalies (outliers, digit preference, duplicates)</t>
  </si>
  <si>
    <t xml:space="preserve">Integrity screening</t>
  </si>
  <si>
    <t xml:space="preserve">Value distributions across corpus</t>
  </si>
  <si>
    <t xml:space="preserve">Anomaly report</t>
  </si>
  <si>
    <t xml:space="preserve">Statistical anomaly detection</t>
  </si>
  <si>
    <t xml:space="preserve">List evidence supporting [claim] for submission module [X]</t>
  </si>
  <si>
    <t xml:space="preserve">Evidence sourcing</t>
  </si>
  <si>
    <t xml:space="preserve">Study results, module mapping</t>
  </si>
  <si>
    <t xml:space="preserve">Evidence list</t>
  </si>
  <si>
    <t xml:space="preserve">Show all studies contributing to the [indication] submission</t>
  </si>
  <si>
    <t xml:space="preserve">Submission scoping</t>
  </si>
  <si>
    <t xml:space="preserve">Study registry, linkage</t>
  </si>
  <si>
    <t xml:space="preserve">Study inventory</t>
  </si>
  <si>
    <t xml:space="preserve">Pull the current labeling claims for [product]</t>
  </si>
  <si>
    <t xml:space="preserve">Approved label, claim records</t>
  </si>
  <si>
    <t xml:space="preserve">Claim list</t>
  </si>
  <si>
    <t xml:space="preserve">What are the open regulatory commitments for [product]?</t>
  </si>
  <si>
    <t xml:space="preserve">Commitment check</t>
  </si>
  <si>
    <t xml:space="preserve">Commitment records, due dates</t>
  </si>
  <si>
    <t xml:space="preserve">Commitment list</t>
  </si>
  <si>
    <t xml:space="preserve">Show the submission status for [indication] by module</t>
  </si>
  <si>
    <t xml:space="preserve">Module status records</t>
  </si>
  <si>
    <t xml:space="preserve">Status view</t>
  </si>
  <si>
    <t xml:space="preserve">Aggregation</t>
  </si>
  <si>
    <t xml:space="preserve">List health authority questions received for [product] this cycle</t>
  </si>
  <si>
    <t xml:space="preserve">HA question tracking</t>
  </si>
  <si>
    <t xml:space="preserve">HA correspondence records</t>
  </si>
  <si>
    <t xml:space="preserve">Question list</t>
  </si>
  <si>
    <t xml:space="preserve">Find the source study for [specific labeling statement]</t>
  </si>
  <si>
    <t xml:space="preserve">Traceability lookup</t>
  </si>
  <si>
    <t xml:space="preserve">Label-to-evidence mapping</t>
  </si>
  <si>
    <t xml:space="preserve">Source reference</t>
  </si>
  <si>
    <t xml:space="preserve">Run a cross-study consistency check for [labeling claim]</t>
  </si>
  <si>
    <t xml:space="preserve">Claim substantiation</t>
  </si>
  <si>
    <t xml:space="preserve">Endpoint data across studies</t>
  </si>
  <si>
    <t xml:space="preserve">Consistency matrix</t>
  </si>
  <si>
    <t xml:space="preserve">Identify evidence gaps for submission module [X]</t>
  </si>
  <si>
    <t xml:space="preserve">Readiness review</t>
  </si>
  <si>
    <t xml:space="preserve">Module requirements, evidence</t>
  </si>
  <si>
    <t xml:space="preserve">Gap list + severity</t>
  </si>
  <si>
    <t xml:space="preserve">Requirement-to-evidence mapping</t>
  </si>
  <si>
    <t xml:space="preserve">Summarize the safety data package status across contributing studies</t>
  </si>
  <si>
    <t xml:space="preserve">Package tracking</t>
  </si>
  <si>
    <t xml:space="preserve">Safety datasets, study status</t>
  </si>
  <si>
    <t xml:space="preserve">Status summary</t>
  </si>
  <si>
    <t xml:space="preserve">Aggregation + rollup</t>
  </si>
  <si>
    <t xml:space="preserve">Compare [product] labeling against [competitor product] labeling</t>
  </si>
  <si>
    <t xml:space="preserve">Label benchmarking</t>
  </si>
  <si>
    <t xml:space="preserve">Approved labels, indications</t>
  </si>
  <si>
    <t xml:space="preserve">Label comparison</t>
  </si>
  <si>
    <t xml:space="preserve">Summarize how [guidance change] affects the current submission</t>
  </si>
  <si>
    <t xml:space="preserve">Intelligence review</t>
  </si>
  <si>
    <t xml:space="preserve">Guidance text, submission content</t>
  </si>
  <si>
    <t xml:space="preserve">Impact summary</t>
  </si>
  <si>
    <t xml:space="preserve">Mapping + summarization</t>
  </si>
  <si>
    <t xml:space="preserve">Map each labeling claim to its supporting evidence and flag weak links</t>
  </si>
  <si>
    <t xml:space="preserve">Substantiation audit</t>
  </si>
  <si>
    <t xml:space="preserve">Claims, evidence, strength</t>
  </si>
  <si>
    <t xml:space="preserve">Claim-evidence map</t>
  </si>
  <si>
    <t xml:space="preserve">Mapping + gap analysis</t>
  </si>
  <si>
    <t xml:space="preserve">Assess submission readiness for [indication] and flag gaps, inconsistencies, missing datasets</t>
  </si>
  <si>
    <t xml:space="preserve">Go/no-go review</t>
  </si>
  <si>
    <t xml:space="preserve">Full evidence corpus, requirements</t>
  </si>
  <si>
    <t xml:space="preserve">Readiness assessment</t>
  </si>
  <si>
    <t xml:space="preserve">Multi-step gap reasoning</t>
  </si>
  <si>
    <t xml:space="preserve">Draft the clinical overview narrative integrating efficacy and safety, with source traceability</t>
  </si>
  <si>
    <t xml:space="preserve">Document authoring</t>
  </si>
  <si>
    <t xml:space="preserve">Efficacy, safety, study data</t>
  </si>
  <si>
    <t xml:space="preserve">Draft narrative</t>
  </si>
  <si>
    <t xml:space="preserve">Model the regulatory impact of [emerging safety signal] on active and planned submissions</t>
  </si>
  <si>
    <t xml:space="preserve">Impact planning</t>
  </si>
  <si>
    <t xml:space="preserve">Signal data, submission pipeline</t>
  </si>
  <si>
    <t xml:space="preserve">Impact assessment</t>
  </si>
  <si>
    <t xml:space="preserve">Scenario reasoning + recommendation</t>
  </si>
  <si>
    <t xml:space="preserve">Analyze approval precedents for [indication] and recommend a regulatory strategy</t>
  </si>
  <si>
    <t xml:space="preserve">Strategy CI</t>
  </si>
  <si>
    <t xml:space="preserve">Competitor regulatory histories</t>
  </si>
  <si>
    <t xml:space="preserve">Precedent synthesis + recommendation</t>
  </si>
  <si>
    <t xml:space="preserve">Draft responses to health authority questions using evidence from the corpus</t>
  </si>
  <si>
    <t xml:space="preserve">HA response</t>
  </si>
  <si>
    <t xml:space="preserve">HA questions, evidence base</t>
  </si>
  <si>
    <t xml:space="preserve">Draft responses</t>
  </si>
  <si>
    <t xml:space="preserve">Show milestone status across all active studies</t>
  </si>
  <si>
    <t xml:space="preserve">Portfolio status</t>
  </si>
  <si>
    <t xml:space="preserve">Milestones, planned vs actual</t>
  </si>
  <si>
    <t xml:space="preserve">Milestone dashboard</t>
  </si>
  <si>
    <t xml:space="preserve">Which studies are behind schedule this quarter?</t>
  </si>
  <si>
    <t xml:space="preserve">Delay spotting</t>
  </si>
  <si>
    <t xml:space="preserve">Timeline data, baselines</t>
  </si>
  <si>
    <t xml:space="preserve">Flagged study list</t>
  </si>
  <si>
    <t xml:space="preserve">List total enrolled subjects across the portfolio</t>
  </si>
  <si>
    <t xml:space="preserve">Headline metric</t>
  </si>
  <si>
    <t xml:space="preserve">Enrollment across studies</t>
  </si>
  <si>
    <t xml:space="preserve">Rolled-up figure</t>
  </si>
  <si>
    <t xml:space="preserve">Show budget vs actual across active programs</t>
  </si>
  <si>
    <t xml:space="preserve">Budget check</t>
  </si>
  <si>
    <t xml:space="preserve">Budget and spend data</t>
  </si>
  <si>
    <t xml:space="preserve">Variance table</t>
  </si>
  <si>
    <t xml:space="preserve">Which studies have the highest open risk count?</t>
  </si>
  <si>
    <t xml:space="preserve">Risk triage</t>
  </si>
  <si>
    <t xml:space="preserve">Risk registers by study</t>
  </si>
  <si>
    <t xml:space="preserve">Ranked study list</t>
  </si>
  <si>
    <t xml:space="preserve">List upcoming milestones in the next 90 days</t>
  </si>
  <si>
    <t xml:space="preserve">Look-ahead</t>
  </si>
  <si>
    <t xml:space="preserve">Milestone dates</t>
  </si>
  <si>
    <t xml:space="preserve">Milestone queue</t>
  </si>
  <si>
    <t xml:space="preserve">Show resource allocation by program</t>
  </si>
  <si>
    <t xml:space="preserve">Resourcing check</t>
  </si>
  <si>
    <t xml:space="preserve">Assignment data</t>
  </si>
  <si>
    <t xml:space="preserve">Allocation view</t>
  </si>
  <si>
    <t xml:space="preserve">Show a portfolio-level risk rollup across active studies</t>
  </si>
  <si>
    <t xml:space="preserve">Study-level risk indicators</t>
  </si>
  <si>
    <t xml:space="preserve">Risk heatmap</t>
  </si>
  <si>
    <t xml:space="preserve">Multi-study aggregation</t>
  </si>
  <si>
    <t xml:space="preserve">Compare timeline slippage across programs and identify the biggest drivers</t>
  </si>
  <si>
    <t xml:space="preserve">Delay analysis</t>
  </si>
  <si>
    <t xml:space="preserve">Milestone variances, causes</t>
  </si>
  <si>
    <t xml:space="preserve">Slippage ranking</t>
  </si>
  <si>
    <t xml:space="preserve">Comparative + attribution</t>
  </si>
  <si>
    <t xml:space="preserve">Summarize resourcing pressure by phase and therapeutic area</t>
  </si>
  <si>
    <t xml:space="preserve">Capacity planning</t>
  </si>
  <si>
    <t xml:space="preserve">Workload, assignments</t>
  </si>
  <si>
    <t xml:space="preserve">Pressure heatmap</t>
  </si>
  <si>
    <t xml:space="preserve">Cross-dimension aggregation</t>
  </si>
  <si>
    <t xml:space="preserve">Show which programs are trending over budget and why</t>
  </si>
  <si>
    <t xml:space="preserve">Budget analysis</t>
  </si>
  <si>
    <t xml:space="preserve">Spend trends, drivers</t>
  </si>
  <si>
    <t xml:space="preserve">Trend + drivers</t>
  </si>
  <si>
    <t xml:space="preserve">Trend + attribution</t>
  </si>
  <si>
    <t xml:space="preserve">Compare delivery performance across CROs and vendors</t>
  </si>
  <si>
    <t xml:space="preserve">Vendor benchmarking</t>
  </si>
  <si>
    <t xml:space="preserve">Vendor delivery metrics</t>
  </si>
  <si>
    <t xml:space="preserve">Vendor comparison</t>
  </si>
  <si>
    <t xml:space="preserve">Summarize portfolio quality metrics across studies</t>
  </si>
  <si>
    <t xml:space="preserve">Quality oversight</t>
  </si>
  <si>
    <t xml:space="preserve">Cross-study quality data</t>
  </si>
  <si>
    <t xml:space="preserve">Quality summary</t>
  </si>
  <si>
    <t xml:space="preserve">Model portfolio delivery risk under current trajectories and quantify timeline and budget exposure</t>
  </si>
  <si>
    <t xml:space="preserve">Delivery planning</t>
  </si>
  <si>
    <t xml:space="preserve">Trajectories, dependencies, cost</t>
  </si>
  <si>
    <t xml:space="preserve">Risk model + exposure</t>
  </si>
  <si>
    <t xml:space="preserve">Predictive + quantitative modeling</t>
  </si>
  <si>
    <t xml:space="preserve">Recommend where to reallocate monitoring and data effort for maximum risk reduction</t>
  </si>
  <si>
    <t xml:space="preserve">Resource optimization</t>
  </si>
  <si>
    <t xml:space="preserve">Risk signals, costs, priorities</t>
  </si>
  <si>
    <t xml:space="preserve">Reallocation plan</t>
  </si>
  <si>
    <t xml:space="preserve">Build an executive board narrative across delivery, quality, safety, and regulatory status</t>
  </si>
  <si>
    <t xml:space="preserve">Board reporting</t>
  </si>
  <si>
    <t xml:space="preserve">All portfolio datasets</t>
  </si>
  <si>
    <t xml:space="preserve">Executive narrative</t>
  </si>
  <si>
    <t xml:space="preserve">Model the portfolio impact of accelerating [program] vs holding</t>
  </si>
  <si>
    <t xml:space="preserve">Investment decision</t>
  </si>
  <si>
    <t xml:space="preserve">Program trajectories, dependencies</t>
  </si>
  <si>
    <t xml:space="preserve">Scenario comparison</t>
  </si>
  <si>
    <t xml:space="preserve">Scenario modeling</t>
  </si>
  <si>
    <t xml:space="preserve">Assess competitive positioning of the pipeline against landscape development timelines</t>
  </si>
  <si>
    <t xml:space="preserve">Own pipeline, competitor timelines</t>
  </si>
  <si>
    <t xml:space="preserve">Positioning assessment</t>
  </si>
  <si>
    <t xml:space="preserve">Recommend program prioritization based on risk, value, and competitive timing</t>
  </si>
  <si>
    <t xml:space="preserve">Portfolio strategy</t>
  </si>
  <si>
    <t xml:space="preserve">Risk, value, competitive data</t>
  </si>
  <si>
    <t xml:space="preserve">Prioritization + rationale</t>
  </si>
  <si>
    <t xml:space="preserve">Optimization + recommendation</t>
  </si>
  <si>
    <t xml:space="preserve">Competitive Intelligence</t>
  </si>
  <si>
    <t xml:space="preserve">Curated cross-persona CI questions over the same corpus</t>
  </si>
  <si>
    <t xml:space="preserve">List all active competitor trials for [indication]</t>
  </si>
  <si>
    <t xml:space="preserve">Landscape scan</t>
  </si>
  <si>
    <t xml:space="preserve">Registry records</t>
  </si>
  <si>
    <t xml:space="preserve">Which competitors have products approved for [indication]?</t>
  </si>
  <si>
    <t xml:space="preserve">Approval scan</t>
  </si>
  <si>
    <t xml:space="preserve">Approval records</t>
  </si>
  <si>
    <t xml:space="preserve">Product list</t>
  </si>
  <si>
    <t xml:space="preserve">Show recent competitor trial readouts for [therapeutic class]</t>
  </si>
  <si>
    <t xml:space="preserve">Readout tracking</t>
  </si>
  <si>
    <t xml:space="preserve">Trial results corpus</t>
  </si>
  <si>
    <t xml:space="preserve">Readout list</t>
  </si>
  <si>
    <t xml:space="preserve">Find the latest label changes for [competitor product]</t>
  </si>
  <si>
    <t xml:space="preserve">Label watch</t>
  </si>
  <si>
    <t xml:space="preserve">Label change records</t>
  </si>
  <si>
    <t xml:space="preserve">Change summary</t>
  </si>
  <si>
    <t xml:space="preserve">List competitor congress presentations on [indication] this year</t>
  </si>
  <si>
    <t xml:space="preserve">Congress watch</t>
  </si>
  <si>
    <t xml:space="preserve">Presentation list</t>
  </si>
  <si>
    <t xml:space="preserve">What is the phase and status of [competitor asset]?</t>
  </si>
  <si>
    <t xml:space="preserve">Asset check</t>
  </si>
  <si>
    <t xml:space="preserve">Pipeline records</t>
  </si>
  <si>
    <t xml:space="preserve">Status card</t>
  </si>
  <si>
    <t xml:space="preserve">Map the competitive pipeline for [indication] by phase, mechanism, and sponsor</t>
  </si>
  <si>
    <t xml:space="preserve">Pipeline mapping</t>
  </si>
  <si>
    <t xml:space="preserve">Registry, mechanism tags</t>
  </si>
  <si>
    <t xml:space="preserve">Pipeline matrix</t>
  </si>
  <si>
    <t xml:space="preserve">Compare efficacy and safety endpoints for [product] vs [competitor product]</t>
  </si>
  <si>
    <t xml:space="preserve">Head-to-head compare</t>
  </si>
  <si>
    <t xml:space="preserve">Track competitor development timelines and projected readouts for [indication]</t>
  </si>
  <si>
    <t xml:space="preserve">Timeline tracking</t>
  </si>
  <si>
    <t xml:space="preserve">Milestones, projected dates</t>
  </si>
  <si>
    <t xml:space="preserve">Timeline view</t>
  </si>
  <si>
    <t xml:space="preserve">Summarize the competitive evidence landscape for [claim]</t>
  </si>
  <si>
    <t xml:space="preserve">Evidence landscape</t>
  </si>
  <si>
    <t xml:space="preserve">Publication + trial corpus</t>
  </si>
  <si>
    <t xml:space="preserve">Landscape summary</t>
  </si>
  <si>
    <t xml:space="preserve">Aggregation + synthesis</t>
  </si>
  <si>
    <t xml:space="preserve">Compare labeling and indications across [product] and key competitors</t>
  </si>
  <si>
    <t xml:space="preserve">Approved labels</t>
  </si>
  <si>
    <t xml:space="preserve">Comparison matrix</t>
  </si>
  <si>
    <t xml:space="preserve">Show competitor enrollment footprint overlapping [study] sites</t>
  </si>
  <si>
    <t xml:space="preserve">Enrollment competition</t>
  </si>
  <si>
    <t xml:space="preserve">Site participation data</t>
  </si>
  <si>
    <t xml:space="preserve">Overlap heatmap</t>
  </si>
  <si>
    <t xml:space="preserve">Geospatial aggregation</t>
  </si>
  <si>
    <t xml:space="preserve">Build a competitive threat assessment for [product] across the [indication] landscape</t>
  </si>
  <si>
    <t xml:space="preserve">Threat assessment</t>
  </si>
  <si>
    <t xml:space="preserve">Pipeline, positioning, gaps</t>
  </si>
  <si>
    <t xml:space="preserve">Threat brief</t>
  </si>
  <si>
    <t xml:space="preserve">Analyze how competitors achieved approval for [indication] and extract implications</t>
  </si>
  <si>
    <t xml:space="preserve">Precedent analysis</t>
  </si>
  <si>
    <t xml:space="preserve">Regulatory histories</t>
  </si>
  <si>
    <t xml:space="preserve">Synthesis + recommendation</t>
  </si>
  <si>
    <t xml:space="preserve">Generate a positioning brief integrating clinical, safety, and regulatory comparison</t>
  </si>
  <si>
    <t xml:space="preserve">Full competitor corpus</t>
  </si>
  <si>
    <t xml:space="preserve">Model competitive timing scenarios and quantify first vs second-mover exposure</t>
  </si>
  <si>
    <t xml:space="preserve">Timing strategy</t>
  </si>
  <si>
    <t xml:space="preserve">Timelines, dependencies</t>
  </si>
  <si>
    <t xml:space="preserve">Scenario model</t>
  </si>
  <si>
    <t xml:space="preserve">Scenario + quantitative modeling</t>
  </si>
  <si>
    <t xml:space="preserve">Recommend evidence-generation priorities to counter competitor strengths</t>
  </si>
  <si>
    <t xml:space="preserve">Data strategy</t>
  </si>
  <si>
    <t xml:space="preserve">Competitor evidence, own gaps</t>
  </si>
  <si>
    <t xml:space="preserve">Priority recommendation</t>
  </si>
  <si>
    <t xml:space="preserve">Build a BD and licensing landscape scan for [therapeutic area] with gap and threat analysis</t>
  </si>
  <si>
    <t xml:space="preserve">BD support</t>
  </si>
  <si>
    <t xml:space="preserve">Asset, sponsor, mechanism data</t>
  </si>
  <si>
    <t xml:space="preserve">Landscape dossier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</si>
</sst>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2B2B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sz val="10"/>
      <color rgb="FF2B2B2B"/>
      <name val="Arial"/>
      <family val="0"/>
      <charset val="1"/>
    </font>
    <font>
      <sz val="9"/>
      <color rgb="FF44454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44454A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2B2B"/>
        <bgColor rgb="FF44454A"/>
      </patternFill>
    </fill>
    <fill>
      <patternFill patternType="solid">
        <fgColor rgb="FFF5821F"/>
        <bgColor rgb="FFFF6600"/>
      </patternFill>
    </fill>
    <fill>
      <patternFill patternType="solid">
        <fgColor rgb="FFF5F6F7"/>
        <bgColor rgb="FFFFFFFF"/>
      </patternFill>
    </fill>
    <fill>
      <patternFill patternType="solid">
        <fgColor rgb="FFFDE8D4"/>
        <bgColor rgb="FFF5F6F7"/>
      </patternFill>
    </fill>
    <fill>
      <patternFill patternType="solid">
        <fgColor rgb="FFF9C08A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0"/>
      </left>
      <right style="thin">
        <color rgb="FFD9DCE0"/>
      </right>
      <top style="thin">
        <color rgb="FFD9DCE0"/>
      </top>
      <bottom style="thin">
        <color rgb="FFD9D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7"/>
      <rgbColor rgb="FFCCFFFF"/>
      <rgbColor rgb="FF660066"/>
      <rgbColor rgb="FFFF8080"/>
      <rgbColor rgb="FF0066CC"/>
      <rgbColor rgb="FFD9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D4"/>
      <rgbColor rgb="FF99CCFF"/>
      <rgbColor rgb="FFFF99CC"/>
      <rgbColor rgb="FFCC99FF"/>
      <rgbColor rgb="FFF9C08A"/>
      <rgbColor rgb="FF3366FF"/>
      <rgbColor rgb="FF33CCCC"/>
      <rgbColor rgb="FF99CC00"/>
      <rgbColor rgb="FFFFCC00"/>
      <rgbColor rgb="FFF5821F"/>
      <rgbColor rgb="FFFF6600"/>
      <rgbColor rgb="FF666699"/>
      <rgbColor rgb="FF969696"/>
      <rgbColor rgb="FF003366"/>
      <rgbColor rgb="FF339966"/>
      <rgbColor rgb="FF003300"/>
      <rgbColor rgb="FF44454A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40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9.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customFormat="false" ht="22.35" hidden="false" customHeight="false" outlineLevel="0" collapsed="false">
      <c r="B7" s="5" t="s">
        <v>10</v>
      </c>
      <c r="C7" s="6" t="n">
        <f aca="false">COUNTIF('Safety &amp; PV'!$B:$B,"Simple")</f>
        <v>7</v>
      </c>
      <c r="D7" s="6" t="n">
        <f aca="false">COUNTIF('Safety &amp; PV'!$B:$B,"Medium")</f>
        <v>7</v>
      </c>
      <c r="E7" s="6" t="n">
        <f aca="false">COUNTIF('Safety &amp; PV'!$B:$B,"Complex")</f>
        <v>6</v>
      </c>
      <c r="F7" s="6" t="n">
        <f aca="false">SUM(C7:E7)</f>
        <v>20</v>
      </c>
      <c r="G7" s="6" t="n">
        <f aca="false">COUNTIF('Safety &amp; PV'!$H:$H,"Yes")</f>
        <v>2</v>
      </c>
      <c r="H7" s="7" t="s">
        <v>11</v>
      </c>
    </row>
    <row r="8" customFormat="false" ht="22.35" hidden="false" customHeight="false" outlineLevel="0" collapsed="false">
      <c r="B8" s="5" t="s">
        <v>12</v>
      </c>
      <c r="C8" s="6" t="n">
        <f aca="false">COUNTIF('Medical Affairs'!$B:$B,"Simple")</f>
        <v>7</v>
      </c>
      <c r="D8" s="6" t="n">
        <f aca="false">COUNTIF('Medical Affairs'!$B:$B,"Medium")</f>
        <v>7</v>
      </c>
      <c r="E8" s="6" t="n">
        <f aca="false">COUNTIF('Medical Affairs'!$B:$B,"Complex")</f>
        <v>6</v>
      </c>
      <c r="F8" s="6" t="n">
        <f aca="false">SUM(C8:E8)</f>
        <v>20</v>
      </c>
      <c r="G8" s="6" t="n">
        <f aca="false">COUNTIF('Medical Affairs'!$H:$H,"Yes")</f>
        <v>8</v>
      </c>
      <c r="H8" s="7" t="s">
        <v>13</v>
      </c>
    </row>
    <row r="9" customFormat="false" ht="15" hidden="false" customHeight="false" outlineLevel="0" collapsed="false">
      <c r="B9" s="5" t="s">
        <v>14</v>
      </c>
      <c r="C9" s="6" t="n">
        <f aca="false">COUNTIF('Clinical Operations'!$B:$B,"Simple")</f>
        <v>7</v>
      </c>
      <c r="D9" s="6" t="n">
        <f aca="false">COUNTIF('Clinical Operations'!$B:$B,"Medium")</f>
        <v>7</v>
      </c>
      <c r="E9" s="6" t="n">
        <f aca="false">COUNTIF('Clinical Operations'!$B:$B,"Complex")</f>
        <v>6</v>
      </c>
      <c r="F9" s="6" t="n">
        <f aca="false">SUM(C9:E9)</f>
        <v>20</v>
      </c>
      <c r="G9" s="6" t="n">
        <f aca="false">COUNTIF('Clinical Operations'!$H:$H,"Yes")</f>
        <v>1</v>
      </c>
      <c r="H9" s="7" t="s">
        <v>15</v>
      </c>
    </row>
    <row r="10" customFormat="false" ht="15" hidden="false" customHeight="false" outlineLevel="0" collapsed="false">
      <c r="B10" s="5" t="s">
        <v>16</v>
      </c>
      <c r="C10" s="6" t="n">
        <f aca="false">COUNTIF('Data Management'!$B:$B,"Simple")</f>
        <v>7</v>
      </c>
      <c r="D10" s="6" t="n">
        <f aca="false">COUNTIF('Data Management'!$B:$B,"Medium")</f>
        <v>7</v>
      </c>
      <c r="E10" s="6" t="n">
        <f aca="false">COUNTIF('Data Management'!$B:$B,"Complex")</f>
        <v>5</v>
      </c>
      <c r="F10" s="6" t="n">
        <f aca="false">SUM(C10:E10)</f>
        <v>19</v>
      </c>
      <c r="G10" s="6" t="n">
        <f aca="false">COUNTIF('Data Management'!$H:$H,"Yes")</f>
        <v>0</v>
      </c>
      <c r="H10" s="7" t="s">
        <v>17</v>
      </c>
    </row>
    <row r="11" customFormat="false" ht="15" hidden="false" customHeight="false" outlineLevel="0" collapsed="false">
      <c r="B11" s="5" t="s">
        <v>18</v>
      </c>
      <c r="C11" s="6" t="n">
        <f aca="false">COUNTIF('Regulatory Affairs'!$B:$B,"Simple")</f>
        <v>7</v>
      </c>
      <c r="D11" s="6" t="n">
        <f aca="false">COUNTIF('Regulatory Affairs'!$B:$B,"Medium")</f>
        <v>6</v>
      </c>
      <c r="E11" s="6" t="n">
        <f aca="false">COUNTIF('Regulatory Affairs'!$B:$B,"Complex")</f>
        <v>5</v>
      </c>
      <c r="F11" s="6" t="n">
        <f aca="false">SUM(C11:E11)</f>
        <v>18</v>
      </c>
      <c r="G11" s="6" t="n">
        <f aca="false">COUNTIF('Regulatory Affairs'!$H:$H,"Yes")</f>
        <v>3</v>
      </c>
      <c r="H11" s="7" t="s">
        <v>19</v>
      </c>
    </row>
    <row r="12" customFormat="false" ht="15" hidden="false" customHeight="false" outlineLevel="0" collapsed="false">
      <c r="B12" s="5" t="s">
        <v>20</v>
      </c>
      <c r="C12" s="6" t="n">
        <f aca="false">COUNTIF('Clinical Leadership'!$B:$B,"Simple")</f>
        <v>7</v>
      </c>
      <c r="D12" s="6" t="n">
        <f aca="false">COUNTIF('Clinical Leadership'!$B:$B,"Medium")</f>
        <v>6</v>
      </c>
      <c r="E12" s="6" t="n">
        <f aca="false">COUNTIF('Clinical Leadership'!$B:$B,"Complex")</f>
        <v>6</v>
      </c>
      <c r="F12" s="6" t="n">
        <f aca="false">SUM(C12:E12)</f>
        <v>19</v>
      </c>
      <c r="G12" s="6" t="n">
        <f aca="false">COUNTIF('Clinical Leadership'!$H:$H,"Yes")</f>
        <v>2</v>
      </c>
      <c r="H12" s="7" t="s">
        <v>21</v>
      </c>
    </row>
    <row r="13" customFormat="false" ht="15" hidden="false" customHeight="false" outlineLevel="0" collapsed="false">
      <c r="B13" s="5" t="s">
        <v>22</v>
      </c>
      <c r="C13" s="6" t="n">
        <f aca="false">COUNTIF('Competitive Intelligence'!$B:$B,"Simple")</f>
        <v>6</v>
      </c>
      <c r="D13" s="6" t="n">
        <f aca="false">COUNTIF('Competitive Intelligence'!$B:$B,"Medium")</f>
        <v>6</v>
      </c>
      <c r="E13" s="6" t="n">
        <f aca="false">COUNTIF('Competitive Intelligence'!$B:$B,"Complex")</f>
        <v>6</v>
      </c>
      <c r="F13" s="6" t="n">
        <f aca="false">SUM(C13:E13)</f>
        <v>18</v>
      </c>
      <c r="G13" s="6" t="n">
        <f aca="false">F13</f>
        <v>18</v>
      </c>
      <c r="H13" s="7" t="s">
        <v>23</v>
      </c>
    </row>
    <row r="14" customFormat="false" ht="19.5" hidden="false" customHeight="true" outlineLevel="0" collapsed="false">
      <c r="B14" s="8" t="s">
        <v>7</v>
      </c>
      <c r="C14" s="9" t="n">
        <f aca="false">SUM(C7:C13)</f>
        <v>48</v>
      </c>
      <c r="D14" s="9" t="n">
        <f aca="false">SUM(D7:D13)</f>
        <v>46</v>
      </c>
      <c r="E14" s="9" t="n">
        <f aca="false">SUM(E7:E13)</f>
        <v>40</v>
      </c>
      <c r="F14" s="9" t="n">
        <f aca="false">SUM(F7:F13)</f>
        <v>134</v>
      </c>
      <c r="G14" s="9" t="n">
        <f aca="false">SUM(G7:G13)</f>
        <v>34</v>
      </c>
      <c r="H14" s="10"/>
    </row>
    <row r="16" customFormat="false" ht="27.75" hidden="false" customHeight="true" outlineLevel="0" collapsed="false">
      <c r="B16" s="11" t="s">
        <v>24</v>
      </c>
      <c r="C16" s="11"/>
      <c r="D16" s="11"/>
      <c r="E16" s="11"/>
      <c r="F16" s="11"/>
      <c r="G16" s="11"/>
      <c r="H16" s="11"/>
    </row>
  </sheetData>
  <mergeCells count="4">
    <mergeCell ref="B2:H2"/>
    <mergeCell ref="B3:H3"/>
    <mergeCell ref="B5:H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6"/>
  </cols>
  <sheetData>
    <row r="1" customFormat="false" ht="30" hidden="false" customHeight="true" outlineLevel="0" collapsed="false">
      <c r="A1" s="12" t="s">
        <v>10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11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4" t="s">
        <v>8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32</v>
      </c>
      <c r="D5" s="17" t="s">
        <v>33</v>
      </c>
      <c r="E5" s="17" t="s">
        <v>34</v>
      </c>
      <c r="F5" s="17" t="s">
        <v>35</v>
      </c>
      <c r="G5" s="17" t="s">
        <v>36</v>
      </c>
      <c r="H5" s="18"/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37</v>
      </c>
      <c r="D6" s="21" t="s">
        <v>38</v>
      </c>
      <c r="E6" s="21" t="s">
        <v>39</v>
      </c>
      <c r="F6" s="21" t="s">
        <v>40</v>
      </c>
      <c r="G6" s="21" t="s">
        <v>36</v>
      </c>
      <c r="H6" s="18"/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41</v>
      </c>
      <c r="D7" s="17" t="s">
        <v>42</v>
      </c>
      <c r="E7" s="17" t="s">
        <v>43</v>
      </c>
      <c r="F7" s="17" t="s">
        <v>44</v>
      </c>
      <c r="G7" s="17" t="s">
        <v>45</v>
      </c>
      <c r="H7" s="18"/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46</v>
      </c>
      <c r="D8" s="21" t="s">
        <v>47</v>
      </c>
      <c r="E8" s="21" t="s">
        <v>48</v>
      </c>
      <c r="F8" s="21" t="s">
        <v>49</v>
      </c>
      <c r="G8" s="21" t="s">
        <v>50</v>
      </c>
      <c r="H8" s="18"/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51</v>
      </c>
      <c r="D9" s="17" t="s">
        <v>52</v>
      </c>
      <c r="E9" s="17" t="s">
        <v>53</v>
      </c>
      <c r="F9" s="17" t="s">
        <v>54</v>
      </c>
      <c r="G9" s="17" t="s">
        <v>36</v>
      </c>
      <c r="H9" s="18"/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55</v>
      </c>
      <c r="D10" s="21" t="s">
        <v>56</v>
      </c>
      <c r="E10" s="21" t="s">
        <v>57</v>
      </c>
      <c r="F10" s="21" t="s">
        <v>58</v>
      </c>
      <c r="G10" s="21" t="s">
        <v>59</v>
      </c>
      <c r="H10" s="18"/>
    </row>
    <row r="11" customFormat="false" ht="42" hidden="false" customHeight="true" outlineLevel="0" collapsed="false">
      <c r="A11" s="14" t="n">
        <v>7</v>
      </c>
      <c r="B11" s="15" t="s">
        <v>4</v>
      </c>
      <c r="C11" s="16" t="s">
        <v>60</v>
      </c>
      <c r="D11" s="17" t="s">
        <v>61</v>
      </c>
      <c r="E11" s="17" t="s">
        <v>62</v>
      </c>
      <c r="F11" s="17" t="s">
        <v>49</v>
      </c>
      <c r="G11" s="17" t="s">
        <v>50</v>
      </c>
      <c r="H11" s="18"/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63</v>
      </c>
      <c r="D12" s="21" t="s">
        <v>64</v>
      </c>
      <c r="E12" s="21" t="s">
        <v>65</v>
      </c>
      <c r="F12" s="21" t="s">
        <v>66</v>
      </c>
      <c r="G12" s="21" t="s">
        <v>67</v>
      </c>
      <c r="H12" s="18"/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68</v>
      </c>
      <c r="D13" s="17" t="s">
        <v>69</v>
      </c>
      <c r="E13" s="17" t="s">
        <v>70</v>
      </c>
      <c r="F13" s="17" t="s">
        <v>71</v>
      </c>
      <c r="G13" s="17" t="s">
        <v>72</v>
      </c>
      <c r="H13" s="18"/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73</v>
      </c>
      <c r="D14" s="21" t="s">
        <v>74</v>
      </c>
      <c r="E14" s="21" t="s">
        <v>75</v>
      </c>
      <c r="F14" s="21" t="s">
        <v>76</v>
      </c>
      <c r="G14" s="21" t="s">
        <v>77</v>
      </c>
      <c r="H14" s="18"/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78</v>
      </c>
      <c r="D15" s="17" t="s">
        <v>79</v>
      </c>
      <c r="E15" s="17" t="s">
        <v>80</v>
      </c>
      <c r="F15" s="17" t="s">
        <v>81</v>
      </c>
      <c r="G15" s="17" t="s">
        <v>82</v>
      </c>
      <c r="H15" s="18"/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83</v>
      </c>
      <c r="D16" s="21" t="s">
        <v>84</v>
      </c>
      <c r="E16" s="21" t="s">
        <v>85</v>
      </c>
      <c r="F16" s="21" t="s">
        <v>86</v>
      </c>
      <c r="G16" s="21" t="s">
        <v>67</v>
      </c>
      <c r="H16" s="18"/>
    </row>
    <row r="17" customFormat="false" ht="42" hidden="false" customHeight="true" outlineLevel="0" collapsed="false">
      <c r="A17" s="14" t="n">
        <v>13</v>
      </c>
      <c r="B17" s="22" t="s">
        <v>5</v>
      </c>
      <c r="C17" s="16" t="s">
        <v>87</v>
      </c>
      <c r="D17" s="17" t="s">
        <v>88</v>
      </c>
      <c r="E17" s="17" t="s">
        <v>89</v>
      </c>
      <c r="F17" s="17" t="s">
        <v>90</v>
      </c>
      <c r="G17" s="17" t="s">
        <v>91</v>
      </c>
      <c r="H17" s="18"/>
    </row>
    <row r="18" customFormat="false" ht="42" hidden="false" customHeight="true" outlineLevel="0" collapsed="false">
      <c r="A18" s="19" t="n">
        <v>14</v>
      </c>
      <c r="B18" s="22" t="s">
        <v>5</v>
      </c>
      <c r="C18" s="20" t="s">
        <v>92</v>
      </c>
      <c r="D18" s="21" t="s">
        <v>93</v>
      </c>
      <c r="E18" s="21" t="s">
        <v>94</v>
      </c>
      <c r="F18" s="21" t="s">
        <v>95</v>
      </c>
      <c r="G18" s="21" t="s">
        <v>72</v>
      </c>
      <c r="H18" s="23" t="s">
        <v>96</v>
      </c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97</v>
      </c>
      <c r="D19" s="17" t="s">
        <v>98</v>
      </c>
      <c r="E19" s="17" t="s">
        <v>99</v>
      </c>
      <c r="F19" s="17" t="s">
        <v>100</v>
      </c>
      <c r="G19" s="17" t="s">
        <v>101</v>
      </c>
      <c r="H19" s="18"/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102</v>
      </c>
      <c r="D20" s="21" t="s">
        <v>103</v>
      </c>
      <c r="E20" s="21" t="s">
        <v>104</v>
      </c>
      <c r="F20" s="21" t="s">
        <v>105</v>
      </c>
      <c r="G20" s="21" t="s">
        <v>106</v>
      </c>
      <c r="H20" s="18"/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107</v>
      </c>
      <c r="D21" s="17" t="s">
        <v>108</v>
      </c>
      <c r="E21" s="17" t="s">
        <v>109</v>
      </c>
      <c r="F21" s="17" t="s">
        <v>110</v>
      </c>
      <c r="G21" s="17" t="s">
        <v>111</v>
      </c>
      <c r="H21" s="18"/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112</v>
      </c>
      <c r="D22" s="21" t="s">
        <v>113</v>
      </c>
      <c r="E22" s="21" t="s">
        <v>114</v>
      </c>
      <c r="F22" s="21" t="s">
        <v>115</v>
      </c>
      <c r="G22" s="21" t="s">
        <v>106</v>
      </c>
      <c r="H22" s="18"/>
    </row>
    <row r="23" customFormat="false" ht="42" hidden="false" customHeight="true" outlineLevel="0" collapsed="false">
      <c r="A23" s="14" t="n">
        <v>19</v>
      </c>
      <c r="B23" s="9" t="s">
        <v>6</v>
      </c>
      <c r="C23" s="16" t="s">
        <v>116</v>
      </c>
      <c r="D23" s="17" t="s">
        <v>117</v>
      </c>
      <c r="E23" s="17" t="s">
        <v>118</v>
      </c>
      <c r="F23" s="17" t="s">
        <v>119</v>
      </c>
      <c r="G23" s="17" t="s">
        <v>120</v>
      </c>
      <c r="H23" s="18"/>
    </row>
    <row r="24" customFormat="false" ht="42" hidden="false" customHeight="true" outlineLevel="0" collapsed="false">
      <c r="A24" s="19" t="n">
        <v>20</v>
      </c>
      <c r="B24" s="9" t="s">
        <v>6</v>
      </c>
      <c r="C24" s="20" t="s">
        <v>121</v>
      </c>
      <c r="D24" s="21" t="s">
        <v>122</v>
      </c>
      <c r="E24" s="21" t="s">
        <v>123</v>
      </c>
      <c r="F24" s="21" t="s">
        <v>124</v>
      </c>
      <c r="G24" s="21" t="s">
        <v>125</v>
      </c>
      <c r="H24" s="23" t="s">
        <v>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6"/>
  </cols>
  <sheetData>
    <row r="1" customFormat="false" ht="30" hidden="false" customHeight="true" outlineLevel="0" collapsed="false">
      <c r="A1" s="12" t="s">
        <v>12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4" t="s">
        <v>8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126</v>
      </c>
      <c r="D5" s="17" t="s">
        <v>127</v>
      </c>
      <c r="E5" s="17" t="s">
        <v>128</v>
      </c>
      <c r="F5" s="17" t="s">
        <v>129</v>
      </c>
      <c r="G5" s="17" t="s">
        <v>36</v>
      </c>
      <c r="H5" s="18"/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130</v>
      </c>
      <c r="D6" s="21" t="s">
        <v>131</v>
      </c>
      <c r="E6" s="21" t="s">
        <v>132</v>
      </c>
      <c r="F6" s="21" t="s">
        <v>133</v>
      </c>
      <c r="G6" s="21" t="s">
        <v>50</v>
      </c>
      <c r="H6" s="23" t="s">
        <v>96</v>
      </c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134</v>
      </c>
      <c r="D7" s="17" t="s">
        <v>135</v>
      </c>
      <c r="E7" s="17" t="s">
        <v>136</v>
      </c>
      <c r="F7" s="17" t="s">
        <v>137</v>
      </c>
      <c r="G7" s="17" t="s">
        <v>50</v>
      </c>
      <c r="H7" s="18"/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138</v>
      </c>
      <c r="D8" s="21" t="s">
        <v>139</v>
      </c>
      <c r="E8" s="21" t="s">
        <v>140</v>
      </c>
      <c r="F8" s="21" t="s">
        <v>141</v>
      </c>
      <c r="G8" s="21" t="s">
        <v>50</v>
      </c>
      <c r="H8" s="18"/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142</v>
      </c>
      <c r="D9" s="17" t="s">
        <v>143</v>
      </c>
      <c r="E9" s="17" t="s">
        <v>144</v>
      </c>
      <c r="F9" s="17" t="s">
        <v>145</v>
      </c>
      <c r="G9" s="17" t="s">
        <v>146</v>
      </c>
      <c r="H9" s="18"/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147</v>
      </c>
      <c r="D10" s="21" t="s">
        <v>148</v>
      </c>
      <c r="E10" s="21" t="s">
        <v>149</v>
      </c>
      <c r="F10" s="21" t="s">
        <v>150</v>
      </c>
      <c r="G10" s="21" t="s">
        <v>151</v>
      </c>
      <c r="H10" s="18"/>
    </row>
    <row r="11" customFormat="false" ht="42" hidden="false" customHeight="true" outlineLevel="0" collapsed="false">
      <c r="A11" s="14" t="n">
        <v>7</v>
      </c>
      <c r="B11" s="15" t="s">
        <v>4</v>
      </c>
      <c r="C11" s="16" t="s">
        <v>152</v>
      </c>
      <c r="D11" s="17" t="s">
        <v>153</v>
      </c>
      <c r="E11" s="17" t="s">
        <v>154</v>
      </c>
      <c r="F11" s="17" t="s">
        <v>155</v>
      </c>
      <c r="G11" s="17" t="s">
        <v>50</v>
      </c>
      <c r="H11" s="18"/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156</v>
      </c>
      <c r="D12" s="21" t="s">
        <v>157</v>
      </c>
      <c r="E12" s="21" t="s">
        <v>158</v>
      </c>
      <c r="F12" s="21" t="s">
        <v>159</v>
      </c>
      <c r="G12" s="21" t="s">
        <v>67</v>
      </c>
      <c r="H12" s="18"/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160</v>
      </c>
      <c r="D13" s="17" t="s">
        <v>161</v>
      </c>
      <c r="E13" s="17" t="s">
        <v>162</v>
      </c>
      <c r="F13" s="17" t="s">
        <v>163</v>
      </c>
      <c r="G13" s="17" t="s">
        <v>164</v>
      </c>
      <c r="H13" s="23" t="s">
        <v>96</v>
      </c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165</v>
      </c>
      <c r="D14" s="21" t="s">
        <v>166</v>
      </c>
      <c r="E14" s="21" t="s">
        <v>167</v>
      </c>
      <c r="F14" s="21" t="s">
        <v>168</v>
      </c>
      <c r="G14" s="21" t="s">
        <v>169</v>
      </c>
      <c r="H14" s="23" t="s">
        <v>96</v>
      </c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170</v>
      </c>
      <c r="D15" s="17" t="s">
        <v>171</v>
      </c>
      <c r="E15" s="17" t="s">
        <v>172</v>
      </c>
      <c r="F15" s="17" t="s">
        <v>173</v>
      </c>
      <c r="G15" s="17" t="s">
        <v>164</v>
      </c>
      <c r="H15" s="23" t="s">
        <v>96</v>
      </c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174</v>
      </c>
      <c r="D16" s="21" t="s">
        <v>175</v>
      </c>
      <c r="E16" s="21" t="s">
        <v>176</v>
      </c>
      <c r="F16" s="21" t="s">
        <v>177</v>
      </c>
      <c r="G16" s="21" t="s">
        <v>178</v>
      </c>
      <c r="H16" s="18"/>
    </row>
    <row r="17" customFormat="false" ht="42" hidden="false" customHeight="true" outlineLevel="0" collapsed="false">
      <c r="A17" s="14" t="n">
        <v>13</v>
      </c>
      <c r="B17" s="22" t="s">
        <v>5</v>
      </c>
      <c r="C17" s="16" t="s">
        <v>179</v>
      </c>
      <c r="D17" s="17" t="s">
        <v>180</v>
      </c>
      <c r="E17" s="17" t="s">
        <v>181</v>
      </c>
      <c r="F17" s="17" t="s">
        <v>182</v>
      </c>
      <c r="G17" s="17" t="s">
        <v>183</v>
      </c>
      <c r="H17" s="18"/>
    </row>
    <row r="18" customFormat="false" ht="42" hidden="false" customHeight="true" outlineLevel="0" collapsed="false">
      <c r="A18" s="19" t="n">
        <v>14</v>
      </c>
      <c r="B18" s="22" t="s">
        <v>5</v>
      </c>
      <c r="C18" s="20" t="s">
        <v>184</v>
      </c>
      <c r="D18" s="21" t="s">
        <v>185</v>
      </c>
      <c r="E18" s="21" t="s">
        <v>186</v>
      </c>
      <c r="F18" s="21" t="s">
        <v>187</v>
      </c>
      <c r="G18" s="21" t="s">
        <v>67</v>
      </c>
      <c r="H18" s="23" t="s">
        <v>96</v>
      </c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188</v>
      </c>
      <c r="D19" s="17" t="s">
        <v>189</v>
      </c>
      <c r="E19" s="17" t="s">
        <v>190</v>
      </c>
      <c r="F19" s="17" t="s">
        <v>191</v>
      </c>
      <c r="G19" s="17" t="s">
        <v>106</v>
      </c>
      <c r="H19" s="18"/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192</v>
      </c>
      <c r="D20" s="21" t="s">
        <v>193</v>
      </c>
      <c r="E20" s="21" t="s">
        <v>194</v>
      </c>
      <c r="F20" s="21" t="s">
        <v>195</v>
      </c>
      <c r="G20" s="21" t="s">
        <v>196</v>
      </c>
      <c r="H20" s="18"/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197</v>
      </c>
      <c r="D21" s="17" t="s">
        <v>198</v>
      </c>
      <c r="E21" s="17" t="s">
        <v>199</v>
      </c>
      <c r="F21" s="17" t="s">
        <v>200</v>
      </c>
      <c r="G21" s="17" t="s">
        <v>120</v>
      </c>
      <c r="H21" s="23" t="s">
        <v>96</v>
      </c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201</v>
      </c>
      <c r="D22" s="21" t="s">
        <v>202</v>
      </c>
      <c r="E22" s="21" t="s">
        <v>203</v>
      </c>
      <c r="F22" s="21" t="s">
        <v>204</v>
      </c>
      <c r="G22" s="21" t="s">
        <v>120</v>
      </c>
      <c r="H22" s="23" t="s">
        <v>96</v>
      </c>
    </row>
    <row r="23" customFormat="false" ht="42" hidden="false" customHeight="true" outlineLevel="0" collapsed="false">
      <c r="A23" s="14" t="n">
        <v>19</v>
      </c>
      <c r="B23" s="9" t="s">
        <v>6</v>
      </c>
      <c r="C23" s="16" t="s">
        <v>205</v>
      </c>
      <c r="D23" s="17" t="s">
        <v>206</v>
      </c>
      <c r="E23" s="17" t="s">
        <v>207</v>
      </c>
      <c r="F23" s="17" t="s">
        <v>208</v>
      </c>
      <c r="G23" s="17" t="s">
        <v>106</v>
      </c>
      <c r="H23" s="18"/>
    </row>
    <row r="24" customFormat="false" ht="42" hidden="false" customHeight="true" outlineLevel="0" collapsed="false">
      <c r="A24" s="19" t="n">
        <v>20</v>
      </c>
      <c r="B24" s="9" t="s">
        <v>6</v>
      </c>
      <c r="C24" s="20" t="s">
        <v>209</v>
      </c>
      <c r="D24" s="21" t="s">
        <v>210</v>
      </c>
      <c r="E24" s="21" t="s">
        <v>211</v>
      </c>
      <c r="F24" s="21" t="s">
        <v>212</v>
      </c>
      <c r="G24" s="21" t="s">
        <v>196</v>
      </c>
      <c r="H24" s="23" t="s">
        <v>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6"/>
  </cols>
  <sheetData>
    <row r="1" customFormat="false" ht="30" hidden="false" customHeight="true" outlineLevel="0" collapsed="false">
      <c r="A1" s="12" t="s">
        <v>14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15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4" t="s">
        <v>8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213</v>
      </c>
      <c r="D5" s="17" t="s">
        <v>214</v>
      </c>
      <c r="E5" s="17" t="s">
        <v>215</v>
      </c>
      <c r="F5" s="17" t="s">
        <v>216</v>
      </c>
      <c r="G5" s="17" t="s">
        <v>217</v>
      </c>
      <c r="H5" s="18"/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218</v>
      </c>
      <c r="D6" s="21" t="s">
        <v>219</v>
      </c>
      <c r="E6" s="21" t="s">
        <v>220</v>
      </c>
      <c r="F6" s="21" t="s">
        <v>221</v>
      </c>
      <c r="G6" s="21" t="s">
        <v>50</v>
      </c>
      <c r="H6" s="18"/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222</v>
      </c>
      <c r="D7" s="17" t="s">
        <v>223</v>
      </c>
      <c r="E7" s="17" t="s">
        <v>224</v>
      </c>
      <c r="F7" s="17" t="s">
        <v>225</v>
      </c>
      <c r="G7" s="17" t="s">
        <v>226</v>
      </c>
      <c r="H7" s="18"/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227</v>
      </c>
      <c r="D8" s="21" t="s">
        <v>228</v>
      </c>
      <c r="E8" s="21" t="s">
        <v>229</v>
      </c>
      <c r="F8" s="21" t="s">
        <v>230</v>
      </c>
      <c r="G8" s="21" t="s">
        <v>45</v>
      </c>
      <c r="H8" s="18"/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231</v>
      </c>
      <c r="D9" s="17" t="s">
        <v>232</v>
      </c>
      <c r="E9" s="17" t="s">
        <v>233</v>
      </c>
      <c r="F9" s="17" t="s">
        <v>234</v>
      </c>
      <c r="G9" s="17" t="s">
        <v>235</v>
      </c>
      <c r="H9" s="18"/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236</v>
      </c>
      <c r="D10" s="21" t="s">
        <v>237</v>
      </c>
      <c r="E10" s="21" t="s">
        <v>238</v>
      </c>
      <c r="F10" s="21" t="s">
        <v>239</v>
      </c>
      <c r="G10" s="21" t="s">
        <v>50</v>
      </c>
      <c r="H10" s="18"/>
    </row>
    <row r="11" customFormat="false" ht="42" hidden="false" customHeight="true" outlineLevel="0" collapsed="false">
      <c r="A11" s="14" t="n">
        <v>7</v>
      </c>
      <c r="B11" s="15" t="s">
        <v>4</v>
      </c>
      <c r="C11" s="16" t="s">
        <v>240</v>
      </c>
      <c r="D11" s="17" t="s">
        <v>241</v>
      </c>
      <c r="E11" s="17" t="s">
        <v>242</v>
      </c>
      <c r="F11" s="17" t="s">
        <v>216</v>
      </c>
      <c r="G11" s="17" t="s">
        <v>243</v>
      </c>
      <c r="H11" s="18"/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244</v>
      </c>
      <c r="D12" s="21" t="s">
        <v>245</v>
      </c>
      <c r="E12" s="21" t="s">
        <v>246</v>
      </c>
      <c r="F12" s="21" t="s">
        <v>247</v>
      </c>
      <c r="G12" s="21" t="s">
        <v>248</v>
      </c>
      <c r="H12" s="18"/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249</v>
      </c>
      <c r="D13" s="17" t="s">
        <v>250</v>
      </c>
      <c r="E13" s="17" t="s">
        <v>251</v>
      </c>
      <c r="F13" s="17" t="s">
        <v>252</v>
      </c>
      <c r="G13" s="17" t="s">
        <v>253</v>
      </c>
      <c r="H13" s="18"/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254</v>
      </c>
      <c r="D14" s="21" t="s">
        <v>255</v>
      </c>
      <c r="E14" s="21" t="s">
        <v>256</v>
      </c>
      <c r="F14" s="21" t="s">
        <v>257</v>
      </c>
      <c r="G14" s="21" t="s">
        <v>258</v>
      </c>
      <c r="H14" s="18"/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259</v>
      </c>
      <c r="D15" s="17" t="s">
        <v>260</v>
      </c>
      <c r="E15" s="17" t="s">
        <v>261</v>
      </c>
      <c r="F15" s="17" t="s">
        <v>262</v>
      </c>
      <c r="G15" s="17" t="s">
        <v>263</v>
      </c>
      <c r="H15" s="18"/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264</v>
      </c>
      <c r="D16" s="21" t="s">
        <v>265</v>
      </c>
      <c r="E16" s="21" t="s">
        <v>266</v>
      </c>
      <c r="F16" s="21" t="s">
        <v>267</v>
      </c>
      <c r="G16" s="21" t="s">
        <v>268</v>
      </c>
      <c r="H16" s="18"/>
    </row>
    <row r="17" customFormat="false" ht="42" hidden="false" customHeight="true" outlineLevel="0" collapsed="false">
      <c r="A17" s="14" t="n">
        <v>13</v>
      </c>
      <c r="B17" s="22" t="s">
        <v>5</v>
      </c>
      <c r="C17" s="16" t="s">
        <v>269</v>
      </c>
      <c r="D17" s="17" t="s">
        <v>270</v>
      </c>
      <c r="E17" s="17" t="s">
        <v>271</v>
      </c>
      <c r="F17" s="17" t="s">
        <v>272</v>
      </c>
      <c r="G17" s="17" t="s">
        <v>273</v>
      </c>
      <c r="H17" s="18"/>
    </row>
    <row r="18" customFormat="false" ht="42" hidden="false" customHeight="true" outlineLevel="0" collapsed="false">
      <c r="A18" s="19" t="n">
        <v>14</v>
      </c>
      <c r="B18" s="22" t="s">
        <v>5</v>
      </c>
      <c r="C18" s="20" t="s">
        <v>274</v>
      </c>
      <c r="D18" s="21" t="s">
        <v>275</v>
      </c>
      <c r="E18" s="21" t="s">
        <v>276</v>
      </c>
      <c r="F18" s="21" t="s">
        <v>277</v>
      </c>
      <c r="G18" s="21" t="s">
        <v>67</v>
      </c>
      <c r="H18" s="18"/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278</v>
      </c>
      <c r="D19" s="17" t="s">
        <v>279</v>
      </c>
      <c r="E19" s="17" t="s">
        <v>280</v>
      </c>
      <c r="F19" s="17" t="s">
        <v>281</v>
      </c>
      <c r="G19" s="17" t="s">
        <v>282</v>
      </c>
      <c r="H19" s="18"/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283</v>
      </c>
      <c r="D20" s="21" t="s">
        <v>284</v>
      </c>
      <c r="E20" s="21" t="s">
        <v>285</v>
      </c>
      <c r="F20" s="21" t="s">
        <v>286</v>
      </c>
      <c r="G20" s="21" t="s">
        <v>287</v>
      </c>
      <c r="H20" s="18"/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288</v>
      </c>
      <c r="D21" s="17" t="s">
        <v>289</v>
      </c>
      <c r="E21" s="17" t="s">
        <v>290</v>
      </c>
      <c r="F21" s="17" t="s">
        <v>291</v>
      </c>
      <c r="G21" s="17" t="s">
        <v>120</v>
      </c>
      <c r="H21" s="18"/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292</v>
      </c>
      <c r="D22" s="21" t="s">
        <v>293</v>
      </c>
      <c r="E22" s="21" t="s">
        <v>294</v>
      </c>
      <c r="F22" s="21" t="s">
        <v>295</v>
      </c>
      <c r="G22" s="21" t="s">
        <v>296</v>
      </c>
      <c r="H22" s="18"/>
    </row>
    <row r="23" customFormat="false" ht="42" hidden="false" customHeight="true" outlineLevel="0" collapsed="false">
      <c r="A23" s="14" t="n">
        <v>19</v>
      </c>
      <c r="B23" s="9" t="s">
        <v>6</v>
      </c>
      <c r="C23" s="16" t="s">
        <v>297</v>
      </c>
      <c r="D23" s="17" t="s">
        <v>298</v>
      </c>
      <c r="E23" s="17" t="s">
        <v>299</v>
      </c>
      <c r="F23" s="17" t="s">
        <v>300</v>
      </c>
      <c r="G23" s="17" t="s">
        <v>282</v>
      </c>
      <c r="H23" s="18"/>
    </row>
    <row r="24" customFormat="false" ht="42" hidden="false" customHeight="true" outlineLevel="0" collapsed="false">
      <c r="A24" s="19" t="n">
        <v>20</v>
      </c>
      <c r="B24" s="9" t="s">
        <v>6</v>
      </c>
      <c r="C24" s="20" t="s">
        <v>301</v>
      </c>
      <c r="D24" s="21" t="s">
        <v>302</v>
      </c>
      <c r="E24" s="21" t="s">
        <v>303</v>
      </c>
      <c r="F24" s="21" t="s">
        <v>304</v>
      </c>
      <c r="G24" s="21" t="s">
        <v>120</v>
      </c>
      <c r="H24" s="23" t="s">
        <v>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6"/>
  </cols>
  <sheetData>
    <row r="1" customFormat="false" ht="30" hidden="false" customHeight="true" outlineLevel="0" collapsed="false">
      <c r="A1" s="12" t="s">
        <v>16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4" t="s">
        <v>8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305</v>
      </c>
      <c r="D5" s="17" t="s">
        <v>306</v>
      </c>
      <c r="E5" s="17" t="s">
        <v>307</v>
      </c>
      <c r="F5" s="17" t="s">
        <v>308</v>
      </c>
      <c r="G5" s="17" t="s">
        <v>309</v>
      </c>
      <c r="H5" s="18"/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310</v>
      </c>
      <c r="D6" s="21" t="s">
        <v>311</v>
      </c>
      <c r="E6" s="21" t="s">
        <v>312</v>
      </c>
      <c r="F6" s="21" t="s">
        <v>44</v>
      </c>
      <c r="G6" s="21" t="s">
        <v>313</v>
      </c>
      <c r="H6" s="18"/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314</v>
      </c>
      <c r="D7" s="17" t="s">
        <v>315</v>
      </c>
      <c r="E7" s="17" t="s">
        <v>316</v>
      </c>
      <c r="F7" s="17" t="s">
        <v>317</v>
      </c>
      <c r="G7" s="17" t="s">
        <v>318</v>
      </c>
      <c r="H7" s="18"/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319</v>
      </c>
      <c r="D8" s="21" t="s">
        <v>320</v>
      </c>
      <c r="E8" s="21" t="s">
        <v>321</v>
      </c>
      <c r="F8" s="21" t="s">
        <v>322</v>
      </c>
      <c r="G8" s="21" t="s">
        <v>45</v>
      </c>
      <c r="H8" s="18"/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323</v>
      </c>
      <c r="D9" s="17" t="s">
        <v>324</v>
      </c>
      <c r="E9" s="17" t="s">
        <v>325</v>
      </c>
      <c r="F9" s="17" t="s">
        <v>326</v>
      </c>
      <c r="G9" s="17" t="s">
        <v>327</v>
      </c>
      <c r="H9" s="18"/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328</v>
      </c>
      <c r="D10" s="21" t="s">
        <v>329</v>
      </c>
      <c r="E10" s="21" t="s">
        <v>330</v>
      </c>
      <c r="F10" s="21" t="s">
        <v>331</v>
      </c>
      <c r="G10" s="21" t="s">
        <v>59</v>
      </c>
      <c r="H10" s="18"/>
    </row>
    <row r="11" customFormat="false" ht="42" hidden="false" customHeight="true" outlineLevel="0" collapsed="false">
      <c r="A11" s="14" t="n">
        <v>7</v>
      </c>
      <c r="B11" s="15" t="s">
        <v>4</v>
      </c>
      <c r="C11" s="16" t="s">
        <v>332</v>
      </c>
      <c r="D11" s="17" t="s">
        <v>333</v>
      </c>
      <c r="E11" s="17" t="s">
        <v>334</v>
      </c>
      <c r="F11" s="17" t="s">
        <v>335</v>
      </c>
      <c r="G11" s="17" t="s">
        <v>45</v>
      </c>
      <c r="H11" s="18"/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336</v>
      </c>
      <c r="D12" s="21" t="s">
        <v>337</v>
      </c>
      <c r="E12" s="21" t="s">
        <v>338</v>
      </c>
      <c r="F12" s="21" t="s">
        <v>339</v>
      </c>
      <c r="G12" s="21" t="s">
        <v>340</v>
      </c>
      <c r="H12" s="18"/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341</v>
      </c>
      <c r="D13" s="17" t="s">
        <v>342</v>
      </c>
      <c r="E13" s="17" t="s">
        <v>343</v>
      </c>
      <c r="F13" s="17" t="s">
        <v>344</v>
      </c>
      <c r="G13" s="17" t="s">
        <v>345</v>
      </c>
      <c r="H13" s="18"/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346</v>
      </c>
      <c r="D14" s="21" t="s">
        <v>347</v>
      </c>
      <c r="E14" s="21" t="s">
        <v>348</v>
      </c>
      <c r="F14" s="21" t="s">
        <v>326</v>
      </c>
      <c r="G14" s="21" t="s">
        <v>349</v>
      </c>
      <c r="H14" s="18"/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350</v>
      </c>
      <c r="D15" s="17" t="s">
        <v>351</v>
      </c>
      <c r="E15" s="17" t="s">
        <v>352</v>
      </c>
      <c r="F15" s="17" t="s">
        <v>353</v>
      </c>
      <c r="G15" s="17" t="s">
        <v>354</v>
      </c>
      <c r="H15" s="18"/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355</v>
      </c>
      <c r="D16" s="21" t="s">
        <v>356</v>
      </c>
      <c r="E16" s="21" t="s">
        <v>357</v>
      </c>
      <c r="F16" s="21" t="s">
        <v>358</v>
      </c>
      <c r="G16" s="21" t="s">
        <v>258</v>
      </c>
      <c r="H16" s="18"/>
    </row>
    <row r="17" customFormat="false" ht="42" hidden="false" customHeight="true" outlineLevel="0" collapsed="false">
      <c r="A17" s="14" t="n">
        <v>13</v>
      </c>
      <c r="B17" s="22" t="s">
        <v>5</v>
      </c>
      <c r="C17" s="16" t="s">
        <v>359</v>
      </c>
      <c r="D17" s="17" t="s">
        <v>360</v>
      </c>
      <c r="E17" s="17" t="s">
        <v>361</v>
      </c>
      <c r="F17" s="17" t="s">
        <v>362</v>
      </c>
      <c r="G17" s="17" t="s">
        <v>164</v>
      </c>
      <c r="H17" s="18"/>
    </row>
    <row r="18" customFormat="false" ht="42" hidden="false" customHeight="true" outlineLevel="0" collapsed="false">
      <c r="A18" s="19" t="n">
        <v>14</v>
      </c>
      <c r="B18" s="22" t="s">
        <v>5</v>
      </c>
      <c r="C18" s="20" t="s">
        <v>363</v>
      </c>
      <c r="D18" s="21" t="s">
        <v>364</v>
      </c>
      <c r="E18" s="21" t="s">
        <v>365</v>
      </c>
      <c r="F18" s="21" t="s">
        <v>366</v>
      </c>
      <c r="G18" s="21" t="s">
        <v>327</v>
      </c>
      <c r="H18" s="18"/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367</v>
      </c>
      <c r="D19" s="17" t="s">
        <v>368</v>
      </c>
      <c r="E19" s="17" t="s">
        <v>369</v>
      </c>
      <c r="F19" s="17" t="s">
        <v>370</v>
      </c>
      <c r="G19" s="17" t="s">
        <v>282</v>
      </c>
      <c r="H19" s="18"/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371</v>
      </c>
      <c r="D20" s="21" t="s">
        <v>372</v>
      </c>
      <c r="E20" s="21" t="s">
        <v>373</v>
      </c>
      <c r="F20" s="21" t="s">
        <v>374</v>
      </c>
      <c r="G20" s="21" t="s">
        <v>375</v>
      </c>
      <c r="H20" s="18"/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376</v>
      </c>
      <c r="D21" s="17" t="s">
        <v>377</v>
      </c>
      <c r="E21" s="17" t="s">
        <v>378</v>
      </c>
      <c r="F21" s="17" t="s">
        <v>379</v>
      </c>
      <c r="G21" s="17" t="s">
        <v>380</v>
      </c>
      <c r="H21" s="18"/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381</v>
      </c>
      <c r="D22" s="21" t="s">
        <v>382</v>
      </c>
      <c r="E22" s="21" t="s">
        <v>383</v>
      </c>
      <c r="F22" s="21" t="s">
        <v>384</v>
      </c>
      <c r="G22" s="21" t="s">
        <v>296</v>
      </c>
      <c r="H22" s="18"/>
    </row>
    <row r="23" customFormat="false" ht="42" hidden="false" customHeight="true" outlineLevel="0" collapsed="false">
      <c r="A23" s="14" t="n">
        <v>19</v>
      </c>
      <c r="B23" s="9" t="s">
        <v>6</v>
      </c>
      <c r="C23" s="16" t="s">
        <v>385</v>
      </c>
      <c r="D23" s="17" t="s">
        <v>386</v>
      </c>
      <c r="E23" s="17" t="s">
        <v>387</v>
      </c>
      <c r="F23" s="17" t="s">
        <v>388</v>
      </c>
      <c r="G23" s="17" t="s">
        <v>389</v>
      </c>
      <c r="H23" s="1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6"/>
  </cols>
  <sheetData>
    <row r="1" customFormat="false" ht="30" hidden="false" customHeight="true" outlineLevel="0" collapsed="false">
      <c r="A1" s="12" t="s">
        <v>18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4" t="s">
        <v>8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390</v>
      </c>
      <c r="D5" s="17" t="s">
        <v>391</v>
      </c>
      <c r="E5" s="17" t="s">
        <v>392</v>
      </c>
      <c r="F5" s="17" t="s">
        <v>393</v>
      </c>
      <c r="G5" s="17" t="s">
        <v>50</v>
      </c>
      <c r="H5" s="18"/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394</v>
      </c>
      <c r="D6" s="21" t="s">
        <v>395</v>
      </c>
      <c r="E6" s="21" t="s">
        <v>396</v>
      </c>
      <c r="F6" s="21" t="s">
        <v>397</v>
      </c>
      <c r="G6" s="21" t="s">
        <v>151</v>
      </c>
      <c r="H6" s="18"/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398</v>
      </c>
      <c r="D7" s="17" t="s">
        <v>148</v>
      </c>
      <c r="E7" s="17" t="s">
        <v>399</v>
      </c>
      <c r="F7" s="17" t="s">
        <v>400</v>
      </c>
      <c r="G7" s="17" t="s">
        <v>151</v>
      </c>
      <c r="H7" s="18"/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401</v>
      </c>
      <c r="D8" s="21" t="s">
        <v>402</v>
      </c>
      <c r="E8" s="21" t="s">
        <v>403</v>
      </c>
      <c r="F8" s="21" t="s">
        <v>404</v>
      </c>
      <c r="G8" s="21" t="s">
        <v>50</v>
      </c>
      <c r="H8" s="18"/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405</v>
      </c>
      <c r="D9" s="17" t="s">
        <v>228</v>
      </c>
      <c r="E9" s="17" t="s">
        <v>406</v>
      </c>
      <c r="F9" s="17" t="s">
        <v>407</v>
      </c>
      <c r="G9" s="17" t="s">
        <v>408</v>
      </c>
      <c r="H9" s="18"/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409</v>
      </c>
      <c r="D10" s="21" t="s">
        <v>410</v>
      </c>
      <c r="E10" s="21" t="s">
        <v>411</v>
      </c>
      <c r="F10" s="21" t="s">
        <v>412</v>
      </c>
      <c r="G10" s="21" t="s">
        <v>50</v>
      </c>
      <c r="H10" s="18"/>
    </row>
    <row r="11" customFormat="false" ht="42" hidden="false" customHeight="true" outlineLevel="0" collapsed="false">
      <c r="A11" s="14" t="n">
        <v>7</v>
      </c>
      <c r="B11" s="15" t="s">
        <v>4</v>
      </c>
      <c r="C11" s="16" t="s">
        <v>413</v>
      </c>
      <c r="D11" s="17" t="s">
        <v>414</v>
      </c>
      <c r="E11" s="17" t="s">
        <v>415</v>
      </c>
      <c r="F11" s="17" t="s">
        <v>416</v>
      </c>
      <c r="G11" s="17" t="s">
        <v>151</v>
      </c>
      <c r="H11" s="18"/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417</v>
      </c>
      <c r="D12" s="21" t="s">
        <v>418</v>
      </c>
      <c r="E12" s="21" t="s">
        <v>419</v>
      </c>
      <c r="F12" s="21" t="s">
        <v>420</v>
      </c>
      <c r="G12" s="21" t="s">
        <v>164</v>
      </c>
      <c r="H12" s="18"/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421</v>
      </c>
      <c r="D13" s="17" t="s">
        <v>422</v>
      </c>
      <c r="E13" s="17" t="s">
        <v>423</v>
      </c>
      <c r="F13" s="17" t="s">
        <v>424</v>
      </c>
      <c r="G13" s="17" t="s">
        <v>425</v>
      </c>
      <c r="H13" s="18"/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426</v>
      </c>
      <c r="D14" s="21" t="s">
        <v>427</v>
      </c>
      <c r="E14" s="21" t="s">
        <v>428</v>
      </c>
      <c r="F14" s="21" t="s">
        <v>429</v>
      </c>
      <c r="G14" s="21" t="s">
        <v>430</v>
      </c>
      <c r="H14" s="18"/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431</v>
      </c>
      <c r="D15" s="17" t="s">
        <v>432</v>
      </c>
      <c r="E15" s="17" t="s">
        <v>433</v>
      </c>
      <c r="F15" s="17" t="s">
        <v>434</v>
      </c>
      <c r="G15" s="17" t="s">
        <v>164</v>
      </c>
      <c r="H15" s="23" t="s">
        <v>96</v>
      </c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435</v>
      </c>
      <c r="D16" s="21" t="s">
        <v>436</v>
      </c>
      <c r="E16" s="21" t="s">
        <v>437</v>
      </c>
      <c r="F16" s="21" t="s">
        <v>438</v>
      </c>
      <c r="G16" s="21" t="s">
        <v>439</v>
      </c>
      <c r="H16" s="23" t="s">
        <v>96</v>
      </c>
    </row>
    <row r="17" customFormat="false" ht="42" hidden="false" customHeight="true" outlineLevel="0" collapsed="false">
      <c r="A17" s="14" t="n">
        <v>13</v>
      </c>
      <c r="B17" s="22" t="s">
        <v>5</v>
      </c>
      <c r="C17" s="16" t="s">
        <v>440</v>
      </c>
      <c r="D17" s="17" t="s">
        <v>441</v>
      </c>
      <c r="E17" s="17" t="s">
        <v>442</v>
      </c>
      <c r="F17" s="17" t="s">
        <v>443</v>
      </c>
      <c r="G17" s="17" t="s">
        <v>444</v>
      </c>
      <c r="H17" s="18"/>
    </row>
    <row r="18" customFormat="false" ht="42" hidden="false" customHeight="true" outlineLevel="0" collapsed="false">
      <c r="A18" s="19" t="n">
        <v>14</v>
      </c>
      <c r="B18" s="9" t="s">
        <v>6</v>
      </c>
      <c r="C18" s="20" t="s">
        <v>445</v>
      </c>
      <c r="D18" s="21" t="s">
        <v>446</v>
      </c>
      <c r="E18" s="21" t="s">
        <v>447</v>
      </c>
      <c r="F18" s="21" t="s">
        <v>448</v>
      </c>
      <c r="G18" s="21" t="s">
        <v>449</v>
      </c>
      <c r="H18" s="18"/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450</v>
      </c>
      <c r="D19" s="17" t="s">
        <v>451</v>
      </c>
      <c r="E19" s="17" t="s">
        <v>452</v>
      </c>
      <c r="F19" s="17" t="s">
        <v>453</v>
      </c>
      <c r="G19" s="17" t="s">
        <v>106</v>
      </c>
      <c r="H19" s="18"/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454</v>
      </c>
      <c r="D20" s="21" t="s">
        <v>455</v>
      </c>
      <c r="E20" s="21" t="s">
        <v>456</v>
      </c>
      <c r="F20" s="21" t="s">
        <v>457</v>
      </c>
      <c r="G20" s="21" t="s">
        <v>458</v>
      </c>
      <c r="H20" s="18"/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459</v>
      </c>
      <c r="D21" s="17" t="s">
        <v>460</v>
      </c>
      <c r="E21" s="17" t="s">
        <v>461</v>
      </c>
      <c r="F21" s="17" t="s">
        <v>212</v>
      </c>
      <c r="G21" s="17" t="s">
        <v>462</v>
      </c>
      <c r="H21" s="23" t="s">
        <v>96</v>
      </c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463</v>
      </c>
      <c r="D22" s="21" t="s">
        <v>464</v>
      </c>
      <c r="E22" s="21" t="s">
        <v>465</v>
      </c>
      <c r="F22" s="21" t="s">
        <v>466</v>
      </c>
      <c r="G22" s="21" t="s">
        <v>106</v>
      </c>
      <c r="H22" s="1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6"/>
  </cols>
  <sheetData>
    <row r="1" customFormat="false" ht="30" hidden="false" customHeight="true" outlineLevel="0" collapsed="false">
      <c r="A1" s="12" t="s">
        <v>20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4" t="s">
        <v>8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467</v>
      </c>
      <c r="D5" s="17" t="s">
        <v>468</v>
      </c>
      <c r="E5" s="17" t="s">
        <v>469</v>
      </c>
      <c r="F5" s="17" t="s">
        <v>470</v>
      </c>
      <c r="G5" s="17" t="s">
        <v>408</v>
      </c>
      <c r="H5" s="18"/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471</v>
      </c>
      <c r="D6" s="21" t="s">
        <v>472</v>
      </c>
      <c r="E6" s="21" t="s">
        <v>473</v>
      </c>
      <c r="F6" s="21" t="s">
        <v>474</v>
      </c>
      <c r="G6" s="21" t="s">
        <v>217</v>
      </c>
      <c r="H6" s="18"/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475</v>
      </c>
      <c r="D7" s="17" t="s">
        <v>476</v>
      </c>
      <c r="E7" s="17" t="s">
        <v>477</v>
      </c>
      <c r="F7" s="17" t="s">
        <v>478</v>
      </c>
      <c r="G7" s="17" t="s">
        <v>45</v>
      </c>
      <c r="H7" s="18"/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479</v>
      </c>
      <c r="D8" s="21" t="s">
        <v>480</v>
      </c>
      <c r="E8" s="21" t="s">
        <v>481</v>
      </c>
      <c r="F8" s="21" t="s">
        <v>482</v>
      </c>
      <c r="G8" s="21" t="s">
        <v>408</v>
      </c>
      <c r="H8" s="18"/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483</v>
      </c>
      <c r="D9" s="17" t="s">
        <v>484</v>
      </c>
      <c r="E9" s="17" t="s">
        <v>485</v>
      </c>
      <c r="F9" s="17" t="s">
        <v>486</v>
      </c>
      <c r="G9" s="17" t="s">
        <v>327</v>
      </c>
      <c r="H9" s="18"/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487</v>
      </c>
      <c r="D10" s="21" t="s">
        <v>488</v>
      </c>
      <c r="E10" s="21" t="s">
        <v>489</v>
      </c>
      <c r="F10" s="21" t="s">
        <v>490</v>
      </c>
      <c r="G10" s="21" t="s">
        <v>59</v>
      </c>
      <c r="H10" s="18"/>
    </row>
    <row r="11" customFormat="false" ht="42" hidden="false" customHeight="true" outlineLevel="0" collapsed="false">
      <c r="A11" s="14" t="n">
        <v>7</v>
      </c>
      <c r="B11" s="15" t="s">
        <v>4</v>
      </c>
      <c r="C11" s="16" t="s">
        <v>491</v>
      </c>
      <c r="D11" s="17" t="s">
        <v>492</v>
      </c>
      <c r="E11" s="17" t="s">
        <v>493</v>
      </c>
      <c r="F11" s="17" t="s">
        <v>494</v>
      </c>
      <c r="G11" s="17" t="s">
        <v>408</v>
      </c>
      <c r="H11" s="18"/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495</v>
      </c>
      <c r="D12" s="21" t="s">
        <v>377</v>
      </c>
      <c r="E12" s="21" t="s">
        <v>496</v>
      </c>
      <c r="F12" s="21" t="s">
        <v>497</v>
      </c>
      <c r="G12" s="21" t="s">
        <v>498</v>
      </c>
      <c r="H12" s="18"/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499</v>
      </c>
      <c r="D13" s="17" t="s">
        <v>500</v>
      </c>
      <c r="E13" s="17" t="s">
        <v>501</v>
      </c>
      <c r="F13" s="17" t="s">
        <v>502</v>
      </c>
      <c r="G13" s="17" t="s">
        <v>503</v>
      </c>
      <c r="H13" s="18"/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504</v>
      </c>
      <c r="D14" s="21" t="s">
        <v>505</v>
      </c>
      <c r="E14" s="21" t="s">
        <v>506</v>
      </c>
      <c r="F14" s="21" t="s">
        <v>507</v>
      </c>
      <c r="G14" s="21" t="s">
        <v>508</v>
      </c>
      <c r="H14" s="18"/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509</v>
      </c>
      <c r="D15" s="17" t="s">
        <v>510</v>
      </c>
      <c r="E15" s="17" t="s">
        <v>511</v>
      </c>
      <c r="F15" s="17" t="s">
        <v>512</v>
      </c>
      <c r="G15" s="17" t="s">
        <v>513</v>
      </c>
      <c r="H15" s="18"/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514</v>
      </c>
      <c r="D16" s="21" t="s">
        <v>515</v>
      </c>
      <c r="E16" s="21" t="s">
        <v>516</v>
      </c>
      <c r="F16" s="21" t="s">
        <v>517</v>
      </c>
      <c r="G16" s="21" t="s">
        <v>164</v>
      </c>
      <c r="H16" s="18"/>
    </row>
    <row r="17" customFormat="false" ht="42" hidden="false" customHeight="true" outlineLevel="0" collapsed="false">
      <c r="A17" s="14" t="n">
        <v>13</v>
      </c>
      <c r="B17" s="22" t="s">
        <v>5</v>
      </c>
      <c r="C17" s="16" t="s">
        <v>518</v>
      </c>
      <c r="D17" s="17" t="s">
        <v>519</v>
      </c>
      <c r="E17" s="17" t="s">
        <v>520</v>
      </c>
      <c r="F17" s="17" t="s">
        <v>521</v>
      </c>
      <c r="G17" s="17" t="s">
        <v>67</v>
      </c>
      <c r="H17" s="18"/>
    </row>
    <row r="18" customFormat="false" ht="42" hidden="false" customHeight="true" outlineLevel="0" collapsed="false">
      <c r="A18" s="19" t="n">
        <v>14</v>
      </c>
      <c r="B18" s="9" t="s">
        <v>6</v>
      </c>
      <c r="C18" s="20" t="s">
        <v>522</v>
      </c>
      <c r="D18" s="21" t="s">
        <v>523</v>
      </c>
      <c r="E18" s="21" t="s">
        <v>524</v>
      </c>
      <c r="F18" s="21" t="s">
        <v>525</v>
      </c>
      <c r="G18" s="21" t="s">
        <v>526</v>
      </c>
      <c r="H18" s="18"/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527</v>
      </c>
      <c r="D19" s="17" t="s">
        <v>528</v>
      </c>
      <c r="E19" s="17" t="s">
        <v>529</v>
      </c>
      <c r="F19" s="17" t="s">
        <v>530</v>
      </c>
      <c r="G19" s="17" t="s">
        <v>296</v>
      </c>
      <c r="H19" s="18"/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531</v>
      </c>
      <c r="D20" s="21" t="s">
        <v>532</v>
      </c>
      <c r="E20" s="21" t="s">
        <v>533</v>
      </c>
      <c r="F20" s="21" t="s">
        <v>534</v>
      </c>
      <c r="G20" s="21" t="s">
        <v>120</v>
      </c>
      <c r="H20" s="18"/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535</v>
      </c>
      <c r="D21" s="17" t="s">
        <v>536</v>
      </c>
      <c r="E21" s="17" t="s">
        <v>537</v>
      </c>
      <c r="F21" s="17" t="s">
        <v>538</v>
      </c>
      <c r="G21" s="17" t="s">
        <v>539</v>
      </c>
      <c r="H21" s="18"/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540</v>
      </c>
      <c r="D22" s="21" t="s">
        <v>210</v>
      </c>
      <c r="E22" s="21" t="s">
        <v>541</v>
      </c>
      <c r="F22" s="21" t="s">
        <v>542</v>
      </c>
      <c r="G22" s="21" t="s">
        <v>120</v>
      </c>
      <c r="H22" s="23" t="s">
        <v>96</v>
      </c>
    </row>
    <row r="23" customFormat="false" ht="42" hidden="false" customHeight="true" outlineLevel="0" collapsed="false">
      <c r="A23" s="14" t="n">
        <v>19</v>
      </c>
      <c r="B23" s="9" t="s">
        <v>6</v>
      </c>
      <c r="C23" s="16" t="s">
        <v>543</v>
      </c>
      <c r="D23" s="17" t="s">
        <v>544</v>
      </c>
      <c r="E23" s="17" t="s">
        <v>545</v>
      </c>
      <c r="F23" s="17" t="s">
        <v>546</v>
      </c>
      <c r="G23" s="17" t="s">
        <v>547</v>
      </c>
      <c r="H23" s="23" t="s">
        <v>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2" t="s">
        <v>548</v>
      </c>
      <c r="B1" s="12"/>
      <c r="C1" s="12"/>
      <c r="D1" s="12"/>
      <c r="E1" s="12"/>
      <c r="F1" s="12"/>
      <c r="G1" s="12"/>
    </row>
    <row r="2" customFormat="false" ht="19.5" hidden="false" customHeight="true" outlineLevel="0" collapsed="false">
      <c r="A2" s="2" t="s">
        <v>549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4" t="s">
        <v>25</v>
      </c>
      <c r="B4" s="4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</row>
    <row r="5" customFormat="false" ht="42" hidden="false" customHeight="true" outlineLevel="0" collapsed="false">
      <c r="A5" s="14" t="n">
        <v>1</v>
      </c>
      <c r="B5" s="15" t="s">
        <v>4</v>
      </c>
      <c r="C5" s="16" t="s">
        <v>550</v>
      </c>
      <c r="D5" s="17" t="s">
        <v>551</v>
      </c>
      <c r="E5" s="17" t="s">
        <v>552</v>
      </c>
      <c r="F5" s="17" t="s">
        <v>133</v>
      </c>
      <c r="G5" s="17" t="s">
        <v>50</v>
      </c>
    </row>
    <row r="6" customFormat="false" ht="42" hidden="false" customHeight="true" outlineLevel="0" collapsed="false">
      <c r="A6" s="19" t="n">
        <v>2</v>
      </c>
      <c r="B6" s="15" t="s">
        <v>4</v>
      </c>
      <c r="C6" s="20" t="s">
        <v>553</v>
      </c>
      <c r="D6" s="21" t="s">
        <v>554</v>
      </c>
      <c r="E6" s="21" t="s">
        <v>555</v>
      </c>
      <c r="F6" s="21" t="s">
        <v>556</v>
      </c>
      <c r="G6" s="21" t="s">
        <v>151</v>
      </c>
    </row>
    <row r="7" customFormat="false" ht="42" hidden="false" customHeight="true" outlineLevel="0" collapsed="false">
      <c r="A7" s="14" t="n">
        <v>3</v>
      </c>
      <c r="B7" s="15" t="s">
        <v>4</v>
      </c>
      <c r="C7" s="16" t="s">
        <v>557</v>
      </c>
      <c r="D7" s="17" t="s">
        <v>558</v>
      </c>
      <c r="E7" s="17" t="s">
        <v>559</v>
      </c>
      <c r="F7" s="17" t="s">
        <v>560</v>
      </c>
      <c r="G7" s="17" t="s">
        <v>50</v>
      </c>
    </row>
    <row r="8" customFormat="false" ht="42" hidden="false" customHeight="true" outlineLevel="0" collapsed="false">
      <c r="A8" s="19" t="n">
        <v>4</v>
      </c>
      <c r="B8" s="15" t="s">
        <v>4</v>
      </c>
      <c r="C8" s="20" t="s">
        <v>561</v>
      </c>
      <c r="D8" s="21" t="s">
        <v>562</v>
      </c>
      <c r="E8" s="21" t="s">
        <v>563</v>
      </c>
      <c r="F8" s="21" t="s">
        <v>564</v>
      </c>
      <c r="G8" s="21" t="s">
        <v>50</v>
      </c>
    </row>
    <row r="9" customFormat="false" ht="42" hidden="false" customHeight="true" outlineLevel="0" collapsed="false">
      <c r="A9" s="14" t="n">
        <v>5</v>
      </c>
      <c r="B9" s="15" t="s">
        <v>4</v>
      </c>
      <c r="C9" s="16" t="s">
        <v>565</v>
      </c>
      <c r="D9" s="17" t="s">
        <v>566</v>
      </c>
      <c r="E9" s="17" t="s">
        <v>186</v>
      </c>
      <c r="F9" s="17" t="s">
        <v>567</v>
      </c>
      <c r="G9" s="17" t="s">
        <v>50</v>
      </c>
    </row>
    <row r="10" customFormat="false" ht="42" hidden="false" customHeight="true" outlineLevel="0" collapsed="false">
      <c r="A10" s="19" t="n">
        <v>6</v>
      </c>
      <c r="B10" s="15" t="s">
        <v>4</v>
      </c>
      <c r="C10" s="20" t="s">
        <v>568</v>
      </c>
      <c r="D10" s="21" t="s">
        <v>569</v>
      </c>
      <c r="E10" s="21" t="s">
        <v>570</v>
      </c>
      <c r="F10" s="21" t="s">
        <v>571</v>
      </c>
      <c r="G10" s="21" t="s">
        <v>151</v>
      </c>
    </row>
    <row r="11" customFormat="false" ht="42" hidden="false" customHeight="true" outlineLevel="0" collapsed="false">
      <c r="A11" s="14" t="n">
        <v>7</v>
      </c>
      <c r="B11" s="22" t="s">
        <v>5</v>
      </c>
      <c r="C11" s="16" t="s">
        <v>572</v>
      </c>
      <c r="D11" s="17" t="s">
        <v>573</v>
      </c>
      <c r="E11" s="17" t="s">
        <v>574</v>
      </c>
      <c r="F11" s="17" t="s">
        <v>575</v>
      </c>
      <c r="G11" s="17" t="s">
        <v>169</v>
      </c>
    </row>
    <row r="12" customFormat="false" ht="42" hidden="false" customHeight="true" outlineLevel="0" collapsed="false">
      <c r="A12" s="19" t="n">
        <v>8</v>
      </c>
      <c r="B12" s="22" t="s">
        <v>5</v>
      </c>
      <c r="C12" s="20" t="s">
        <v>576</v>
      </c>
      <c r="D12" s="21" t="s">
        <v>577</v>
      </c>
      <c r="E12" s="21" t="s">
        <v>162</v>
      </c>
      <c r="F12" s="21" t="s">
        <v>163</v>
      </c>
      <c r="G12" s="21" t="s">
        <v>164</v>
      </c>
    </row>
    <row r="13" customFormat="false" ht="42" hidden="false" customHeight="true" outlineLevel="0" collapsed="false">
      <c r="A13" s="14" t="n">
        <v>9</v>
      </c>
      <c r="B13" s="22" t="s">
        <v>5</v>
      </c>
      <c r="C13" s="16" t="s">
        <v>578</v>
      </c>
      <c r="D13" s="17" t="s">
        <v>579</v>
      </c>
      <c r="E13" s="17" t="s">
        <v>580</v>
      </c>
      <c r="F13" s="17" t="s">
        <v>581</v>
      </c>
      <c r="G13" s="17" t="s">
        <v>178</v>
      </c>
    </row>
    <row r="14" customFormat="false" ht="42" hidden="false" customHeight="true" outlineLevel="0" collapsed="false">
      <c r="A14" s="19" t="n">
        <v>10</v>
      </c>
      <c r="B14" s="22" t="s">
        <v>5</v>
      </c>
      <c r="C14" s="20" t="s">
        <v>582</v>
      </c>
      <c r="D14" s="21" t="s">
        <v>583</v>
      </c>
      <c r="E14" s="21" t="s">
        <v>584</v>
      </c>
      <c r="F14" s="21" t="s">
        <v>585</v>
      </c>
      <c r="G14" s="21" t="s">
        <v>586</v>
      </c>
    </row>
    <row r="15" customFormat="false" ht="42" hidden="false" customHeight="true" outlineLevel="0" collapsed="false">
      <c r="A15" s="14" t="n">
        <v>11</v>
      </c>
      <c r="B15" s="22" t="s">
        <v>5</v>
      </c>
      <c r="C15" s="16" t="s">
        <v>587</v>
      </c>
      <c r="D15" s="17" t="s">
        <v>434</v>
      </c>
      <c r="E15" s="17" t="s">
        <v>588</v>
      </c>
      <c r="F15" s="17" t="s">
        <v>589</v>
      </c>
      <c r="G15" s="17" t="s">
        <v>164</v>
      </c>
    </row>
    <row r="16" customFormat="false" ht="42" hidden="false" customHeight="true" outlineLevel="0" collapsed="false">
      <c r="A16" s="19" t="n">
        <v>12</v>
      </c>
      <c r="B16" s="22" t="s">
        <v>5</v>
      </c>
      <c r="C16" s="20" t="s">
        <v>590</v>
      </c>
      <c r="D16" s="21" t="s">
        <v>591</v>
      </c>
      <c r="E16" s="21" t="s">
        <v>592</v>
      </c>
      <c r="F16" s="21" t="s">
        <v>593</v>
      </c>
      <c r="G16" s="21" t="s">
        <v>594</v>
      </c>
    </row>
    <row r="17" customFormat="false" ht="42" hidden="false" customHeight="true" outlineLevel="0" collapsed="false">
      <c r="A17" s="14" t="n">
        <v>13</v>
      </c>
      <c r="B17" s="9" t="s">
        <v>6</v>
      </c>
      <c r="C17" s="16" t="s">
        <v>595</v>
      </c>
      <c r="D17" s="17" t="s">
        <v>596</v>
      </c>
      <c r="E17" s="17" t="s">
        <v>597</v>
      </c>
      <c r="F17" s="17" t="s">
        <v>598</v>
      </c>
      <c r="G17" s="17" t="s">
        <v>120</v>
      </c>
    </row>
    <row r="18" customFormat="false" ht="42" hidden="false" customHeight="true" outlineLevel="0" collapsed="false">
      <c r="A18" s="19" t="n">
        <v>14</v>
      </c>
      <c r="B18" s="9" t="s">
        <v>6</v>
      </c>
      <c r="C18" s="20" t="s">
        <v>599</v>
      </c>
      <c r="D18" s="21" t="s">
        <v>600</v>
      </c>
      <c r="E18" s="21" t="s">
        <v>601</v>
      </c>
      <c r="F18" s="21" t="s">
        <v>600</v>
      </c>
      <c r="G18" s="21" t="s">
        <v>602</v>
      </c>
    </row>
    <row r="19" customFormat="false" ht="42" hidden="false" customHeight="true" outlineLevel="0" collapsed="false">
      <c r="A19" s="14" t="n">
        <v>15</v>
      </c>
      <c r="B19" s="9" t="s">
        <v>6</v>
      </c>
      <c r="C19" s="16" t="s">
        <v>603</v>
      </c>
      <c r="D19" s="17" t="s">
        <v>202</v>
      </c>
      <c r="E19" s="17" t="s">
        <v>604</v>
      </c>
      <c r="F19" s="17" t="s">
        <v>204</v>
      </c>
      <c r="G19" s="17" t="s">
        <v>120</v>
      </c>
    </row>
    <row r="20" customFormat="false" ht="42" hidden="false" customHeight="true" outlineLevel="0" collapsed="false">
      <c r="A20" s="19" t="n">
        <v>16</v>
      </c>
      <c r="B20" s="9" t="s">
        <v>6</v>
      </c>
      <c r="C20" s="20" t="s">
        <v>605</v>
      </c>
      <c r="D20" s="21" t="s">
        <v>606</v>
      </c>
      <c r="E20" s="21" t="s">
        <v>607</v>
      </c>
      <c r="F20" s="21" t="s">
        <v>608</v>
      </c>
      <c r="G20" s="21" t="s">
        <v>609</v>
      </c>
    </row>
    <row r="21" customFormat="false" ht="42" hidden="false" customHeight="true" outlineLevel="0" collapsed="false">
      <c r="A21" s="14" t="n">
        <v>17</v>
      </c>
      <c r="B21" s="9" t="s">
        <v>6</v>
      </c>
      <c r="C21" s="16" t="s">
        <v>610</v>
      </c>
      <c r="D21" s="17" t="s">
        <v>611</v>
      </c>
      <c r="E21" s="17" t="s">
        <v>612</v>
      </c>
      <c r="F21" s="17" t="s">
        <v>613</v>
      </c>
      <c r="G21" s="17" t="s">
        <v>196</v>
      </c>
    </row>
    <row r="22" customFormat="false" ht="42" hidden="false" customHeight="true" outlineLevel="0" collapsed="false">
      <c r="A22" s="19" t="n">
        <v>18</v>
      </c>
      <c r="B22" s="9" t="s">
        <v>6</v>
      </c>
      <c r="C22" s="20" t="s">
        <v>614</v>
      </c>
      <c r="D22" s="21" t="s">
        <v>615</v>
      </c>
      <c r="E22" s="21" t="s">
        <v>616</v>
      </c>
      <c r="F22" s="21" t="s">
        <v>617</v>
      </c>
      <c r="G22" s="21" t="s">
        <v>120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2026-07-20T06:02:28Z</dcterms:created>
  <dc:creator>openpyxl</dc:creator>
  <dc:description/>
  <dc:language>en-US</dc:language>
  <cp:lastModifiedBy/>
  <dcterms:modified xsi:type="dcterms:W3CDTF">2026-07-20T06:02:28Z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